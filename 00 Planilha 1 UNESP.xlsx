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a DIOGO\01 VENDAS DE PLANILHAS\"/>
    </mc:Choice>
  </mc:AlternateContent>
  <bookViews>
    <workbookView xWindow="0" yWindow="0" windowWidth="23040" windowHeight="8976" tabRatio="500"/>
  </bookViews>
  <sheets>
    <sheet name="Parâmetros" sheetId="1" r:id="rId1"/>
    <sheet name="1ª Fase" sheetId="2" r:id="rId2"/>
    <sheet name="2ª Fase" sheetId="3" r:id="rId3"/>
    <sheet name="Registro de Erros" sheetId="5" r:id="rId4"/>
    <sheet name="Dashboard" sheetId="4" r:id="rId5"/>
    <sheet name="Gráfico" sheetId="6" r:id="rId6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5" l="1"/>
  <c r="G19" i="4"/>
  <c r="D19" i="4"/>
  <c r="B19" i="4"/>
  <c r="G18" i="4"/>
  <c r="E18" i="4"/>
  <c r="F18" i="4" s="1"/>
  <c r="B18" i="4"/>
  <c r="G17" i="4"/>
  <c r="D17" i="4"/>
  <c r="B17" i="4"/>
  <c r="G16" i="4"/>
  <c r="E16" i="4"/>
  <c r="F16" i="4" s="1"/>
  <c r="D16" i="4"/>
  <c r="B16" i="4"/>
  <c r="G15" i="4"/>
  <c r="D15" i="4"/>
  <c r="B15" i="4"/>
  <c r="G14" i="4"/>
  <c r="E14" i="4"/>
  <c r="F14" i="4" s="1"/>
  <c r="D14" i="4"/>
  <c r="B14" i="4"/>
  <c r="G13" i="4"/>
  <c r="B13" i="4"/>
  <c r="G12" i="4"/>
  <c r="B12" i="4"/>
  <c r="G11" i="4"/>
  <c r="D11" i="4"/>
  <c r="B11" i="4"/>
  <c r="G10" i="4"/>
  <c r="E10" i="4"/>
  <c r="F10" i="4" s="1"/>
  <c r="D10" i="4"/>
  <c r="B10" i="4"/>
  <c r="G9" i="4"/>
  <c r="D9" i="4"/>
  <c r="B9" i="4"/>
  <c r="G8" i="4"/>
  <c r="B8" i="4"/>
  <c r="G7" i="4"/>
  <c r="D7" i="4"/>
  <c r="B7" i="4"/>
  <c r="G6" i="4"/>
  <c r="B6" i="4"/>
  <c r="G5" i="4"/>
  <c r="B5" i="4"/>
  <c r="G4" i="4"/>
  <c r="B4" i="4"/>
  <c r="A2" i="4"/>
  <c r="A1" i="4"/>
  <c r="F20" i="3"/>
  <c r="F19" i="3"/>
  <c r="D18" i="4" s="1"/>
  <c r="F18" i="3"/>
  <c r="F17" i="3"/>
  <c r="F16" i="3"/>
  <c r="F15" i="3"/>
  <c r="F14" i="3"/>
  <c r="D13" i="4" s="1"/>
  <c r="F13" i="3"/>
  <c r="E12" i="4" s="1"/>
  <c r="F12" i="4" s="1"/>
  <c r="F12" i="3"/>
  <c r="F11" i="3"/>
  <c r="F10" i="3"/>
  <c r="F9" i="3"/>
  <c r="E8" i="4" s="1"/>
  <c r="F8" i="4" s="1"/>
  <c r="F8" i="3"/>
  <c r="F7" i="3"/>
  <c r="D6" i="4" s="1"/>
  <c r="F6" i="3"/>
  <c r="D5" i="4" s="1"/>
  <c r="F5" i="3"/>
  <c r="D4" i="4" s="1"/>
  <c r="A2" i="3"/>
  <c r="D19" i="2"/>
  <c r="C19" i="2"/>
  <c r="E19" i="4" s="1"/>
  <c r="F19" i="4" s="1"/>
  <c r="D18" i="2"/>
  <c r="C18" i="2"/>
  <c r="C18" i="4" s="1"/>
  <c r="D17" i="2"/>
  <c r="C17" i="2"/>
  <c r="E17" i="4" s="1"/>
  <c r="F17" i="4" s="1"/>
  <c r="D16" i="2"/>
  <c r="C16" i="2"/>
  <c r="C16" i="4" s="1"/>
  <c r="D15" i="2"/>
  <c r="C15" i="2"/>
  <c r="E15" i="4" s="1"/>
  <c r="F15" i="4" s="1"/>
  <c r="D14" i="2"/>
  <c r="C14" i="2"/>
  <c r="C14" i="4" s="1"/>
  <c r="D13" i="2"/>
  <c r="C13" i="2"/>
  <c r="E13" i="4" s="1"/>
  <c r="F13" i="4" s="1"/>
  <c r="D12" i="2"/>
  <c r="C12" i="2"/>
  <c r="C12" i="4" s="1"/>
  <c r="D11" i="2"/>
  <c r="C11" i="2"/>
  <c r="E11" i="4" s="1"/>
  <c r="F11" i="4" s="1"/>
  <c r="D10" i="2"/>
  <c r="C10" i="2"/>
  <c r="C10" i="4" s="1"/>
  <c r="D9" i="2"/>
  <c r="C9" i="2"/>
  <c r="E9" i="4" s="1"/>
  <c r="F9" i="4" s="1"/>
  <c r="D8" i="2"/>
  <c r="C8" i="2"/>
  <c r="C8" i="4" s="1"/>
  <c r="D7" i="2"/>
  <c r="C7" i="2"/>
  <c r="E7" i="4" s="1"/>
  <c r="F7" i="4" s="1"/>
  <c r="D6" i="2"/>
  <c r="C6" i="2"/>
  <c r="C6" i="4" s="1"/>
  <c r="D5" i="2"/>
  <c r="C5" i="2"/>
  <c r="D4" i="2"/>
  <c r="C4" i="2"/>
  <c r="C4" i="4" s="1"/>
  <c r="A2" i="2"/>
  <c r="D8" i="4" l="1"/>
  <c r="E6" i="4"/>
  <c r="F6" i="4" s="1"/>
  <c r="E5" i="4"/>
  <c r="F5" i="4" s="1"/>
  <c r="E4" i="4"/>
  <c r="F4" i="4" s="1"/>
  <c r="D12" i="4"/>
  <c r="C5" i="4"/>
  <c r="C7" i="4"/>
  <c r="C9" i="4"/>
  <c r="C11" i="4"/>
  <c r="C13" i="4"/>
  <c r="C15" i="4"/>
  <c r="C17" i="4"/>
  <c r="C19" i="4"/>
</calcChain>
</file>

<file path=xl/sharedStrings.xml><?xml version="1.0" encoding="utf-8"?>
<sst xmlns="http://schemas.openxmlformats.org/spreadsheetml/2006/main" count="134" uniqueCount="68">
  <si>
    <t>⚙   PARÂMETROS — PLANILHA DE DESEMPENHO UNESP</t>
  </si>
  <si>
    <t>Preencha os campos em azul. Todas as abas atualizam automaticamente.</t>
  </si>
  <si>
    <t>Nome do Aluno</t>
  </si>
  <si>
    <t>← altere para personalizar</t>
  </si>
  <si>
    <t>Curso Desejado</t>
  </si>
  <si>
    <t xml:space="preserve">  METAS E PARÂMETROS</t>
  </si>
  <si>
    <t>Meta — Acertos 1ª Fase</t>
  </si>
  <si>
    <t>Mín. de acertos para classificação  (0–90)</t>
  </si>
  <si>
    <t>Meta — Nota Redação</t>
  </si>
  <si>
    <t>Nota mínima desejada na redação  (0–28)</t>
  </si>
  <si>
    <t>Meta — Média Final Alvo</t>
  </si>
  <si>
    <t>Média final mínima para aprovação  (0–100)</t>
  </si>
  <si>
    <t xml:space="preserve">  ESTRUTURA DA PROVA UNESP  (referência)</t>
  </si>
  <si>
    <t>1ª Fase</t>
  </si>
  <si>
    <t>90 questões objetivas</t>
  </si>
  <si>
    <t>Nota 1ª Fase</t>
  </si>
  <si>
    <t>Acertos × 100 ÷ 90  →  escala 0–100</t>
  </si>
  <si>
    <t>2ª Fase — C. Humanas</t>
  </si>
  <si>
    <t>0 a 24 pontos</t>
  </si>
  <si>
    <t>2ª Fase — C. Nat/Mat</t>
  </si>
  <si>
    <t>2ª Fase — Linguagens</t>
  </si>
  <si>
    <t>2ª Fase — Redação</t>
  </si>
  <si>
    <t>0 a 28 pontos  (eliminatório)</t>
  </si>
  <si>
    <t>Nota 2ª Fase</t>
  </si>
  <si>
    <t>Soma das 4 áreas  →  máx. 100 pontos</t>
  </si>
  <si>
    <t>Média Final</t>
  </si>
  <si>
    <t>(Nota 1ª Fase + Nota 2ª Fase) ÷ 2</t>
  </si>
  <si>
    <t>Peso 1ª / 2ª Fase</t>
  </si>
  <si>
    <t>50% cada</t>
  </si>
  <si>
    <t xml:space="preserve">  LEGENDA</t>
  </si>
  <si>
    <t>✔  Dentro da Meta / Aprovado</t>
  </si>
  <si>
    <t>✘  Abaixo da Meta / Reprovado</t>
  </si>
  <si>
    <t xml:space="preserve">                                                                UNESP — 1ª FASE  |  Objetiva</t>
  </si>
  <si>
    <t>Simulado</t>
  </si>
  <si>
    <t>Acertos</t>
  </si>
  <si>
    <t>Status</t>
  </si>
  <si>
    <t>UNESP 2025</t>
  </si>
  <si>
    <t>UNESP 2024</t>
  </si>
  <si>
    <t>UNESP 2023</t>
  </si>
  <si>
    <t>UNESP 2022</t>
  </si>
  <si>
    <t>UNESP 2021</t>
  </si>
  <si>
    <t>UNESP 2020</t>
  </si>
  <si>
    <t>UNESP 2019</t>
  </si>
  <si>
    <t>UNESP 2018</t>
  </si>
  <si>
    <t>UNESP 2017</t>
  </si>
  <si>
    <t>UNESP 2016</t>
  </si>
  <si>
    <t>UNESP 2015</t>
  </si>
  <si>
    <t>UNESP 2014</t>
  </si>
  <si>
    <t>UNESP 2013</t>
  </si>
  <si>
    <t>UNESP 2012</t>
  </si>
  <si>
    <t>UNESP 2011</t>
  </si>
  <si>
    <t>UNESP 2010</t>
  </si>
  <si>
    <t xml:space="preserve">                                                                                 UNESP — 2ª FASE  |  Dissertativa</t>
  </si>
  <si>
    <t>C. Humanas</t>
  </si>
  <si>
    <t>C. Nat. e Mat.</t>
  </si>
  <si>
    <t>Linguagens</t>
  </si>
  <si>
    <t>Redação</t>
  </si>
  <si>
    <t>0 – 24</t>
  </si>
  <si>
    <t>0 – 28</t>
  </si>
  <si>
    <t>Acertos F1</t>
  </si>
  <si>
    <t>Situação</t>
  </si>
  <si>
    <t>Meta Média</t>
  </si>
  <si>
    <t>⚠  Os valores podem apresentar pequenas variações em relação à UNESP devido a critérios de arredondamento da banca.</t>
  </si>
  <si>
    <t xml:space="preserve">                                                                                                                  UNESP — REGISTRO DE ERROS  |  Análise por Simulado</t>
  </si>
  <si>
    <t xml:space="preserve">Erro pontuais Redação </t>
  </si>
  <si>
    <t>Observações</t>
  </si>
  <si>
    <t>Giovanna Fernandes</t>
  </si>
  <si>
    <t>Humanas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</si>
</sst>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yy"/>
    <numFmt numFmtId="165" formatCode="0.000"/>
    <numFmt numFmtId="166" formatCode="0.0"/>
  </numFmts>
  <fonts count="24" x14ac:knownFonts="1">
    <font>
      <sz val="11"/>
      <color theme="1"/>
      <name val="Calibri"/>
      <family val="2"/>
      <charset val="1"/>
    </font>
    <font>
      <b/>
      <sz val="13"/>
      <color rgb="FFFFFFFF"/>
      <name val="Calibri"/>
      <family val="2"/>
    </font>
    <font>
      <i/>
      <sz val="9"/>
      <color rgb="FFBDD7EE"/>
      <name val="Calibri"/>
      <family val="2"/>
    </font>
    <font>
      <b/>
      <sz val="10"/>
      <color rgb="FFBBBBBB"/>
      <name val="Calibri"/>
      <family val="2"/>
    </font>
    <font>
      <b/>
      <sz val="11"/>
      <color rgb="FF1F5C99"/>
      <name val="Calibri"/>
      <family val="2"/>
      <charset val="1"/>
    </font>
    <font>
      <i/>
      <sz val="8"/>
      <color rgb="FF999999"/>
      <name val="Calibri"/>
      <family val="2"/>
    </font>
    <font>
      <b/>
      <sz val="11"/>
      <color rgb="FF1F5C99"/>
      <name val="Calibri"/>
      <family val="2"/>
    </font>
    <font>
      <b/>
      <sz val="10"/>
      <color rgb="FFFFFFFF"/>
      <name val="Calibri"/>
      <family val="2"/>
    </font>
    <font>
      <b/>
      <sz val="9"/>
      <color rgb="FFCCCCCC"/>
      <name val="Calibri"/>
      <family val="2"/>
    </font>
    <font>
      <sz val="9"/>
      <color rgb="FF1A2B4A"/>
      <name val="Calibri"/>
      <family val="2"/>
    </font>
    <font>
      <b/>
      <sz val="10"/>
      <color rgb="FF375623"/>
      <name val="Calibri"/>
      <family val="2"/>
      <charset val="1"/>
    </font>
    <font>
      <b/>
      <sz val="10"/>
      <color rgb="FF9C0006"/>
      <name val="Calibri"/>
      <family val="2"/>
    </font>
    <font>
      <sz val="10"/>
      <color rgb="FFBDD7EE"/>
      <name val="Calibri"/>
      <family val="2"/>
    </font>
    <font>
      <sz val="10"/>
      <color rgb="FF1A2B4A"/>
      <name val="Calibri"/>
      <family val="2"/>
    </font>
    <font>
      <b/>
      <sz val="10"/>
      <color rgb="FF1A2B4A"/>
      <name val="Calibri"/>
      <family val="2"/>
    </font>
    <font>
      <sz val="10"/>
      <color rgb="FF1A2B4A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8"/>
      <color rgb="FFDDDDDD"/>
      <name val="Calibri"/>
      <family val="2"/>
    </font>
    <font>
      <b/>
      <sz val="14"/>
      <color rgb="FFFFFFFF"/>
      <name val="Calibri"/>
      <family val="2"/>
    </font>
    <font>
      <i/>
      <sz val="8"/>
      <color rgb="FFAAAAAA"/>
      <name val="Calibri"/>
      <family val="2"/>
    </font>
    <font>
      <sz val="10"/>
      <color rgb="FF1A2B4A"/>
      <name val="Calibri"/>
      <family val="2"/>
    </font>
    <font>
      <b/>
      <sz val="10"/>
      <color rgb="FFFFFFFF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A2B4A"/>
        <bgColor rgb="FF1E3A5F"/>
      </patternFill>
    </fill>
    <fill>
      <patternFill patternType="solid">
        <fgColor rgb="FF243F60"/>
        <bgColor rgb="FF254061"/>
      </patternFill>
    </fill>
    <fill>
      <patternFill patternType="solid">
        <fgColor rgb="FFD6E4F0"/>
        <bgColor rgb="FFD6E4F7"/>
      </patternFill>
    </fill>
    <fill>
      <patternFill patternType="solid">
        <fgColor rgb="FFF7F7F7"/>
        <bgColor rgb="FFF4F6F9"/>
      </patternFill>
    </fill>
    <fill>
      <patternFill patternType="solid">
        <fgColor rgb="FFF4F6F9"/>
        <bgColor rgb="FFF7F7F7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EDD9C8"/>
      </patternFill>
    </fill>
    <fill>
      <patternFill patternType="solid">
        <fgColor theme="0"/>
        <bgColor rgb="FFF7F7F7"/>
      </patternFill>
    </fill>
    <fill>
      <patternFill patternType="solid">
        <fgColor rgb="FF1E3A5F"/>
        <bgColor rgb="FF243F60"/>
      </patternFill>
    </fill>
    <fill>
      <patternFill patternType="solid">
        <fgColor rgb="FFEBF3FB"/>
        <bgColor rgb="FFF4F6F9"/>
      </patternFill>
    </fill>
    <fill>
      <patternFill patternType="solid">
        <fgColor rgb="FF8B5E3C"/>
        <bgColor rgb="FFC0572B"/>
      </patternFill>
    </fill>
    <fill>
      <patternFill patternType="solid">
        <fgColor rgb="FF2E75B6"/>
        <bgColor rgb="FF1F5C99"/>
      </patternFill>
    </fill>
    <fill>
      <patternFill patternType="solid">
        <fgColor rgb="FF9B7B00"/>
        <bgColor rgb="FF8B5E3C"/>
      </patternFill>
    </fill>
    <fill>
      <patternFill patternType="solid">
        <fgColor rgb="FFC0572B"/>
        <bgColor rgb="FF8B5E3C"/>
      </patternFill>
    </fill>
    <fill>
      <patternFill patternType="solid">
        <fgColor rgb="FFEDD9C8"/>
        <bgColor rgb="FFDDDDDD"/>
      </patternFill>
    </fill>
    <fill>
      <patternFill patternType="solid">
        <fgColor rgb="FFD6E4F7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4" tint="-0.499984740745262"/>
        <bgColor rgb="FF243F60"/>
      </patternFill>
    </fill>
  </fills>
  <borders count="12">
    <border>
      <left/>
      <right/>
      <top/>
      <bottom/>
      <diagonal/>
    </border>
    <border>
      <left style="thin">
        <color rgb="FF1F5C99"/>
      </left>
      <right style="thin">
        <color rgb="FF1F5C99"/>
      </right>
      <top style="thin">
        <color rgb="FF1F5C99"/>
      </top>
      <bottom style="thin">
        <color rgb="FF1F5C9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 applyProtection="1">
      <protection locked="0"/>
    </xf>
    <xf numFmtId="0" fontId="0" fillId="3" borderId="0" xfId="0" applyFill="1" applyAlignment="1" applyProtection="1">
      <protection locked="0"/>
    </xf>
    <xf numFmtId="0" fontId="4" fillId="4" borderId="1" xfId="0" applyFont="1" applyFill="1" applyBorder="1" applyAlignment="1" applyProtection="1">
      <alignment horizontal="left" vertical="center"/>
      <protection locked="0"/>
    </xf>
    <xf numFmtId="0" fontId="6" fillId="4" borderId="1" xfId="0" applyFont="1" applyFill="1" applyBorder="1" applyAlignment="1" applyProtection="1">
      <alignment horizontal="left" vertical="center"/>
      <protection locked="0"/>
    </xf>
    <xf numFmtId="164" fontId="0" fillId="0" borderId="0" xfId="0" applyNumberFormat="1" applyAlignment="1" applyProtection="1">
      <protection locked="0"/>
    </xf>
    <xf numFmtId="0" fontId="0" fillId="9" borderId="0" xfId="0" applyFill="1" applyAlignment="1" applyProtection="1">
      <protection locked="0"/>
    </xf>
    <xf numFmtId="0" fontId="0" fillId="2" borderId="3" xfId="0" applyFill="1" applyBorder="1" applyAlignment="1"/>
    <xf numFmtId="0" fontId="0" fillId="2" borderId="4" xfId="0" applyFill="1" applyBorder="1" applyAlignment="1"/>
    <xf numFmtId="0" fontId="13" fillId="11" borderId="6" xfId="0" applyFont="1" applyFill="1" applyBorder="1" applyAlignment="1" applyProtection="1">
      <alignment horizontal="center" vertical="center"/>
      <protection locked="0"/>
    </xf>
    <xf numFmtId="1" fontId="0" fillId="11" borderId="6" xfId="0" applyNumberFormat="1" applyFill="1" applyBorder="1" applyAlignment="1" applyProtection="1">
      <alignment horizontal="center" vertical="center"/>
      <protection locked="0"/>
    </xf>
    <xf numFmtId="165" fontId="14" fillId="4" borderId="6" xfId="0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 applyProtection="1">
      <alignment horizontal="center" vertical="center"/>
      <protection locked="0"/>
    </xf>
    <xf numFmtId="1" fontId="0" fillId="9" borderId="6" xfId="0" applyNumberFormat="1" applyFill="1" applyBorder="1" applyAlignment="1" applyProtection="1">
      <alignment horizontal="center" vertical="center"/>
      <protection locked="0"/>
    </xf>
    <xf numFmtId="0" fontId="13" fillId="9" borderId="6" xfId="0" applyFont="1" applyFill="1" applyBorder="1" applyAlignment="1" applyProtection="1">
      <alignment horizontal="center" vertical="center"/>
      <protection locked="0"/>
    </xf>
    <xf numFmtId="0" fontId="16" fillId="9" borderId="0" xfId="0" applyFont="1" applyFill="1" applyAlignment="1" applyProtection="1">
      <protection locked="0"/>
    </xf>
    <xf numFmtId="0" fontId="17" fillId="2" borderId="2" xfId="0" applyFont="1" applyFill="1" applyBorder="1" applyAlignment="1">
      <alignment horizontal="left" vertical="center"/>
    </xf>
    <xf numFmtId="166" fontId="0" fillId="16" borderId="6" xfId="0" applyNumberFormat="1" applyFill="1" applyBorder="1" applyAlignment="1" applyProtection="1">
      <alignment horizontal="center" vertical="center"/>
      <protection locked="0"/>
    </xf>
    <xf numFmtId="166" fontId="0" fillId="17" borderId="6" xfId="0" applyNumberFormat="1" applyFill="1" applyBorder="1" applyAlignment="1" applyProtection="1">
      <alignment horizontal="center" vertical="center"/>
      <protection locked="0"/>
    </xf>
    <xf numFmtId="166" fontId="0" fillId="18" borderId="6" xfId="0" applyNumberFormat="1" applyFill="1" applyBorder="1" applyAlignment="1" applyProtection="1">
      <alignment horizontal="center" vertical="center"/>
      <protection locked="0"/>
    </xf>
    <xf numFmtId="166" fontId="0" fillId="19" borderId="6" xfId="0" applyNumberFormat="1" applyFill="1" applyBorder="1" applyAlignment="1" applyProtection="1">
      <alignment horizontal="center" vertical="center"/>
      <protection locked="0"/>
    </xf>
    <xf numFmtId="166" fontId="0" fillId="9" borderId="6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/>
    <xf numFmtId="0" fontId="0" fillId="9" borderId="0" xfId="0" applyFill="1" applyAlignment="1"/>
    <xf numFmtId="0" fontId="12" fillId="3" borderId="9" xfId="0" applyFont="1" applyFill="1" applyBorder="1" applyAlignment="1">
      <alignment horizontal="left" vertical="center"/>
    </xf>
    <xf numFmtId="0" fontId="0" fillId="3" borderId="10" xfId="0" applyFill="1" applyBorder="1" applyAlignment="1"/>
    <xf numFmtId="0" fontId="0" fillId="3" borderId="11" xfId="0" applyFill="1" applyBorder="1" applyAlignment="1"/>
    <xf numFmtId="0" fontId="0" fillId="5" borderId="0" xfId="0" applyFill="1" applyAlignment="1"/>
    <xf numFmtId="0" fontId="7" fillId="2" borderId="6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 applyProtection="1">
      <alignment horizontal="center" vertical="center"/>
      <protection locked="0"/>
    </xf>
    <xf numFmtId="49" fontId="0" fillId="9" borderId="6" xfId="0" applyNumberFormat="1" applyFill="1" applyBorder="1" applyAlignment="1" applyProtection="1">
      <alignment horizontal="left" vertical="center" wrapText="1"/>
      <protection locked="0"/>
    </xf>
    <xf numFmtId="49" fontId="0" fillId="16" borderId="6" xfId="0" applyNumberFormat="1" applyFill="1" applyBorder="1" applyAlignment="1" applyProtection="1">
      <alignment horizontal="left" vertical="center" wrapText="1"/>
      <protection locked="0"/>
    </xf>
    <xf numFmtId="49" fontId="0" fillId="17" borderId="6" xfId="0" applyNumberFormat="1" applyFill="1" applyBorder="1" applyAlignment="1" applyProtection="1">
      <alignment horizontal="left" vertical="center" wrapText="1"/>
      <protection locked="0"/>
    </xf>
    <xf numFmtId="49" fontId="0" fillId="18" borderId="6" xfId="0" applyNumberFormat="1" applyFill="1" applyBorder="1" applyAlignment="1" applyProtection="1">
      <alignment horizontal="left" vertical="center" wrapText="1"/>
      <protection locked="0"/>
    </xf>
    <xf numFmtId="49" fontId="0" fillId="19" borderId="6" xfId="0" applyNumberFormat="1" applyFill="1" applyBorder="1" applyAlignment="1" applyProtection="1">
      <alignment horizontal="left" vertical="center" wrapText="1"/>
      <protection locked="0"/>
    </xf>
    <xf numFmtId="0" fontId="0" fillId="11" borderId="6" xfId="0" applyFill="1" applyBorder="1" applyAlignment="1" applyProtection="1">
      <alignment horizontal="center" vertical="center"/>
      <protection locked="0"/>
    </xf>
    <xf numFmtId="0" fontId="0" fillId="11" borderId="6" xfId="0" applyFill="1" applyBorder="1" applyAlignment="1" applyProtection="1">
      <alignment horizontal="left" vertical="center" wrapText="1"/>
      <protection locked="0"/>
    </xf>
    <xf numFmtId="0" fontId="0" fillId="9" borderId="6" xfId="0" applyFill="1" applyBorder="1" applyAlignment="1" applyProtection="1">
      <alignment horizontal="center" vertical="center"/>
      <protection locked="0"/>
    </xf>
    <xf numFmtId="0" fontId="0" fillId="9" borderId="6" xfId="0" applyFill="1" applyBorder="1" applyAlignment="1" applyProtection="1">
      <alignment horizontal="left" vertical="center" wrapText="1"/>
      <protection locked="0"/>
    </xf>
    <xf numFmtId="0" fontId="0" fillId="20" borderId="0" xfId="0" applyFill="1" applyAlignment="1"/>
    <xf numFmtId="0" fontId="0" fillId="0" borderId="0" xfId="0" applyProtection="1">
      <protection locked="0"/>
    </xf>
    <xf numFmtId="0" fontId="21" fillId="9" borderId="0" xfId="0" applyFont="1" applyFill="1" applyAlignment="1" applyProtection="1">
      <alignment horizontal="left" vertical="center" wrapText="1"/>
      <protection locked="0"/>
    </xf>
    <xf numFmtId="0" fontId="20" fillId="2" borderId="2" xfId="0" applyFont="1" applyFill="1" applyBorder="1" applyAlignment="1" applyProtection="1">
      <alignment horizontal="left" vertical="center"/>
    </xf>
    <xf numFmtId="0" fontId="0" fillId="2" borderId="3" xfId="0" applyFill="1" applyBorder="1" applyAlignment="1" applyProtection="1"/>
    <xf numFmtId="0" fontId="0" fillId="2" borderId="4" xfId="0" applyFill="1" applyBorder="1" applyAlignment="1" applyProtection="1"/>
    <xf numFmtId="0" fontId="0" fillId="9" borderId="0" xfId="0" applyFill="1" applyAlignment="1" applyProtection="1"/>
    <xf numFmtId="0" fontId="0" fillId="0" borderId="0" xfId="0" applyProtection="1"/>
    <xf numFmtId="0" fontId="12" fillId="3" borderId="2" xfId="0" applyFont="1" applyFill="1" applyBorder="1" applyAlignment="1" applyProtection="1">
      <alignment horizontal="left" vertical="center"/>
    </xf>
    <xf numFmtId="0" fontId="0" fillId="3" borderId="3" xfId="0" applyFill="1" applyBorder="1" applyAlignment="1" applyProtection="1"/>
    <xf numFmtId="0" fontId="0" fillId="3" borderId="4" xfId="0" applyFill="1" applyBorder="1" applyAlignment="1" applyProtection="1"/>
    <xf numFmtId="0" fontId="7" fillId="2" borderId="5" xfId="0" applyFont="1" applyFill="1" applyBorder="1" applyAlignment="1" applyProtection="1">
      <alignment horizontal="center" vertical="center"/>
    </xf>
    <xf numFmtId="0" fontId="7" fillId="10" borderId="5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1" fontId="0" fillId="11" borderId="6" xfId="0" applyNumberFormat="1" applyFill="1" applyBorder="1" applyAlignment="1" applyProtection="1">
      <alignment horizontal="center" vertical="center"/>
    </xf>
    <xf numFmtId="165" fontId="0" fillId="11" borderId="6" xfId="0" applyNumberFormat="1" applyFill="1" applyBorder="1" applyAlignment="1" applyProtection="1">
      <alignment horizontal="center" vertical="center"/>
    </xf>
    <xf numFmtId="1" fontId="0" fillId="9" borderId="6" xfId="0" applyNumberFormat="1" applyFill="1" applyBorder="1" applyAlignment="1" applyProtection="1">
      <alignment horizontal="center" vertical="center"/>
    </xf>
    <xf numFmtId="165" fontId="0" fillId="9" borderId="6" xfId="0" applyNumberFormat="1" applyFill="1" applyBorder="1" applyAlignment="1" applyProtection="1">
      <alignment horizontal="center" vertical="center"/>
    </xf>
    <xf numFmtId="0" fontId="22" fillId="11" borderId="6" xfId="0" applyFont="1" applyFill="1" applyBorder="1" applyAlignment="1" applyProtection="1">
      <alignment horizontal="center" vertical="center"/>
      <protection locked="0"/>
    </xf>
    <xf numFmtId="0" fontId="22" fillId="9" borderId="6" xfId="0" applyFont="1" applyFill="1" applyBorder="1" applyAlignment="1" applyProtection="1">
      <alignment horizontal="center" vertical="center"/>
      <protection locked="0"/>
    </xf>
    <xf numFmtId="0" fontId="23" fillId="12" borderId="6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17" fillId="2" borderId="2" xfId="0" applyFont="1" applyFill="1" applyBorder="1" applyAlignment="1" applyProtection="1">
      <alignment horizontal="left" vertical="center"/>
    </xf>
    <xf numFmtId="0" fontId="16" fillId="9" borderId="0" xfId="0" applyFont="1" applyFill="1" applyAlignment="1" applyProtection="1"/>
    <xf numFmtId="0" fontId="0" fillId="0" borderId="0" xfId="0" applyAlignment="1" applyProtection="1"/>
    <xf numFmtId="0" fontId="7" fillId="2" borderId="7" xfId="0" applyFont="1" applyFill="1" applyBorder="1" applyAlignment="1" applyProtection="1">
      <alignment horizontal="center" vertical="center"/>
    </xf>
    <xf numFmtId="0" fontId="18" fillId="12" borderId="7" xfId="0" applyFont="1" applyFill="1" applyBorder="1" applyAlignment="1" applyProtection="1">
      <alignment horizontal="center" vertical="center"/>
    </xf>
    <xf numFmtId="0" fontId="7" fillId="13" borderId="7" xfId="0" applyFont="1" applyFill="1" applyBorder="1" applyAlignment="1" applyProtection="1">
      <alignment horizontal="center" vertical="center"/>
    </xf>
    <xf numFmtId="0" fontId="7" fillId="14" borderId="7" xfId="0" applyFont="1" applyFill="1" applyBorder="1" applyAlignment="1" applyProtection="1">
      <alignment horizontal="center" vertical="center"/>
    </xf>
    <xf numFmtId="0" fontId="7" fillId="15" borderId="7" xfId="0" applyFont="1" applyFill="1" applyBorder="1" applyAlignment="1" applyProtection="1">
      <alignment horizontal="center" vertical="center"/>
    </xf>
    <xf numFmtId="0" fontId="7" fillId="10" borderId="8" xfId="0" applyFont="1" applyFill="1" applyBorder="1" applyAlignment="1" applyProtection="1">
      <alignment horizontal="center" vertical="center"/>
    </xf>
    <xf numFmtId="0" fontId="19" fillId="2" borderId="7" xfId="0" applyFont="1" applyFill="1" applyBorder="1" applyAlignment="1" applyProtection="1">
      <alignment horizontal="center" vertical="center"/>
    </xf>
    <xf numFmtId="0" fontId="19" fillId="12" borderId="7" xfId="0" applyFont="1" applyFill="1" applyBorder="1" applyAlignment="1" applyProtection="1">
      <alignment horizontal="center" vertical="center"/>
    </xf>
    <xf numFmtId="0" fontId="19" fillId="13" borderId="7" xfId="0" applyFont="1" applyFill="1" applyBorder="1" applyAlignment="1" applyProtection="1">
      <alignment horizontal="center" vertical="center"/>
    </xf>
    <xf numFmtId="0" fontId="19" fillId="14" borderId="7" xfId="0" applyFont="1" applyFill="1" applyBorder="1" applyAlignment="1" applyProtection="1">
      <alignment horizontal="center" vertical="center"/>
    </xf>
    <xf numFmtId="0" fontId="19" fillId="15" borderId="7" xfId="0" applyFont="1" applyFill="1" applyBorder="1" applyAlignment="1" applyProtection="1">
      <alignment horizontal="center" vertical="center"/>
    </xf>
    <xf numFmtId="0" fontId="19" fillId="10" borderId="7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left" vertical="center"/>
    </xf>
    <xf numFmtId="165" fontId="14" fillId="4" borderId="6" xfId="0" applyNumberFormat="1" applyFont="1" applyFill="1" applyBorder="1" applyAlignment="1" applyProtection="1">
      <alignment horizontal="center" vertical="center"/>
    </xf>
    <xf numFmtId="0" fontId="0" fillId="11" borderId="6" xfId="0" applyFill="1" applyBorder="1" applyAlignment="1" applyProtection="1">
      <alignment horizontal="center" vertical="center"/>
    </xf>
    <xf numFmtId="0" fontId="0" fillId="9" borderId="6" xfId="0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left" vertical="center"/>
    </xf>
    <xf numFmtId="0" fontId="2" fillId="3" borderId="0" xfId="0" applyFont="1" applyFill="1" applyAlignment="1" applyProtection="1">
      <alignment horizontal="left" vertical="center"/>
    </xf>
    <xf numFmtId="0" fontId="3" fillId="3" borderId="0" xfId="0" applyFont="1" applyFill="1" applyAlignment="1" applyProtection="1">
      <alignment horizontal="left" vertical="center"/>
    </xf>
    <xf numFmtId="0" fontId="7" fillId="3" borderId="0" xfId="0" applyFont="1" applyFill="1" applyAlignment="1" applyProtection="1">
      <alignment horizontal="left" vertical="center"/>
    </xf>
    <xf numFmtId="0" fontId="8" fillId="3" borderId="0" xfId="0" applyFont="1" applyFill="1" applyAlignment="1" applyProtection="1">
      <alignment horizontal="left" vertical="center"/>
    </xf>
    <xf numFmtId="0" fontId="10" fillId="7" borderId="0" xfId="0" applyFont="1" applyFill="1" applyAlignment="1" applyProtection="1">
      <alignment horizontal="center" vertical="center"/>
    </xf>
    <xf numFmtId="0" fontId="0" fillId="2" borderId="0" xfId="0" applyFill="1" applyAlignment="1" applyProtection="1"/>
    <xf numFmtId="0" fontId="0" fillId="3" borderId="0" xfId="0" applyFill="1" applyAlignment="1" applyProtection="1"/>
    <xf numFmtId="0" fontId="5" fillId="5" borderId="0" xfId="0" applyFont="1" applyFill="1" applyAlignment="1" applyProtection="1">
      <alignment horizontal="left" vertical="center"/>
    </xf>
    <xf numFmtId="0" fontId="0" fillId="6" borderId="0" xfId="0" applyFill="1" applyAlignment="1" applyProtection="1"/>
    <xf numFmtId="0" fontId="9" fillId="6" borderId="0" xfId="0" applyFont="1" applyFill="1" applyAlignment="1" applyProtection="1">
      <alignment horizontal="left" vertical="center"/>
    </xf>
    <xf numFmtId="0" fontId="11" fillId="8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6">
    <dxf>
      <font>
        <b/>
        <color rgb="FF9C0006"/>
        <name val="Calibri"/>
      </font>
      <fill>
        <patternFill>
          <bgColor rgb="FFFFC7CE"/>
        </patternFill>
      </fill>
    </dxf>
    <dxf>
      <font>
        <b/>
        <color rgb="FF375623"/>
        <name val="Calibri"/>
      </font>
      <fill>
        <patternFill>
          <bgColor rgb="FFC6EFCE"/>
        </patternFill>
      </fill>
    </dxf>
    <dxf>
      <font>
        <b/>
        <color rgb="FF9C0006"/>
        <name val="Calibri"/>
      </font>
      <fill>
        <patternFill>
          <bgColor rgb="FFFFC7CE"/>
        </patternFill>
      </fill>
    </dxf>
    <dxf>
      <font>
        <b/>
        <color rgb="FF375623"/>
        <name val="Calibri"/>
      </font>
      <fill>
        <patternFill>
          <bgColor rgb="FFC6EFCE"/>
        </patternFill>
      </fill>
    </dxf>
    <dxf>
      <font>
        <b/>
        <color rgb="FF9C0006"/>
        <name val="Calibri"/>
      </font>
      <fill>
        <patternFill>
          <bgColor rgb="FFFFC7CE"/>
        </patternFill>
      </fill>
    </dxf>
    <dxf>
      <font>
        <b/>
        <color rgb="FF375623"/>
        <name val="Calibri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7F7"/>
      <rgbColor rgb="FFFF00FF"/>
      <rgbColor rgb="FF00FFFF"/>
      <rgbColor rgb="FF9C0006"/>
      <rgbColor rgb="FF008000"/>
      <rgbColor rgb="FF000080"/>
      <rgbColor rgb="FF9B7B00"/>
      <rgbColor rgb="FF800080"/>
      <rgbColor rgb="FF008080"/>
      <rgbColor rgb="FFBBBBBB"/>
      <rgbColor rgb="FF878787"/>
      <rgbColor rgb="FFAAAAAA"/>
      <rgbColor rgb="FF8B5E3C"/>
      <rgbColor rgb="FFFFF2CC"/>
      <rgbColor rgb="FFEBF3FB"/>
      <rgbColor rgb="FF660066"/>
      <rgbColor rgb="FFFF8080"/>
      <rgbColor rgb="FF1F5C99"/>
      <rgbColor rgb="FFBDD7EE"/>
      <rgbColor rgb="FF000080"/>
      <rgbColor rgb="FFFF00FF"/>
      <rgbColor rgb="FFF4F6F9"/>
      <rgbColor rgb="FF00FFFF"/>
      <rgbColor rgb="FF800080"/>
      <rgbColor rgb="FF800000"/>
      <rgbColor rgb="FF008080"/>
      <rgbColor rgb="FF0000FF"/>
      <rgbColor rgb="FF00CCFF"/>
      <rgbColor rgb="FFD6E4F7"/>
      <rgbColor rgb="FFC6EFCE"/>
      <rgbColor rgb="FFFCE4D6"/>
      <rgbColor rgb="FFCCCCCC"/>
      <rgbColor rgb="FFEDD9C8"/>
      <rgbColor rgb="FFD9D9D9"/>
      <rgbColor rgb="FFFFC7CE"/>
      <rgbColor rgb="FF2E75B6"/>
      <rgbColor rgb="FF33CCCC"/>
      <rgbColor rgb="FFD6E4F0"/>
      <rgbColor rgb="FFDDDDDD"/>
      <rgbColor rgb="FFFF9900"/>
      <rgbColor rgb="FFFF6600"/>
      <rgbColor rgb="FF8064A2"/>
      <rgbColor rgb="FF999999"/>
      <rgbColor rgb="FF1E3A5F"/>
      <rgbColor rgb="FF339966"/>
      <rgbColor rgb="FF243F60"/>
      <rgbColor rgb="FF375623"/>
      <rgbColor rgb="FFC0572B"/>
      <rgbColor rgb="FF993366"/>
      <rgbColor rgb="FF254061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da Média Final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37204485393894E-2"/>
          <c:y val="9.4908233949867901E-2"/>
          <c:w val="0.80726376687379497"/>
          <c:h val="0.749339427265586"/>
        </c:manualLayout>
      </c:layout>
      <c:lineChart>
        <c:grouping val="standar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Média Final</c:v>
                </c:pt>
              </c:strCache>
            </c:strRef>
          </c:tx>
          <c:spPr>
            <a:ln w="24120">
              <a:solidFill>
                <a:srgbClr val="1A2B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Dashboard!$A$4:$A$19</c:f>
              <c:strCache>
                <c:ptCount val="16"/>
                <c:pt idx="0">
                  <c:v>UNESP 2025</c:v>
                </c:pt>
                <c:pt idx="1">
                  <c:v>UNESP 2024</c:v>
                </c:pt>
                <c:pt idx="2">
                  <c:v>UNESP 2023</c:v>
                </c:pt>
                <c:pt idx="3">
                  <c:v>UNESP 2022</c:v>
                </c:pt>
                <c:pt idx="4">
                  <c:v>UNESP 2021</c:v>
                </c:pt>
                <c:pt idx="5">
                  <c:v>UNESP 2020</c:v>
                </c:pt>
                <c:pt idx="6">
                  <c:v>UNESP 2019</c:v>
                </c:pt>
                <c:pt idx="7">
                  <c:v>UNESP 2018</c:v>
                </c:pt>
                <c:pt idx="8">
                  <c:v>UNESP 2017</c:v>
                </c:pt>
                <c:pt idx="9">
                  <c:v>UNESP 2016</c:v>
                </c:pt>
                <c:pt idx="10">
                  <c:v>UNESP 2015</c:v>
                </c:pt>
                <c:pt idx="11">
                  <c:v>UNESP 2014</c:v>
                </c:pt>
                <c:pt idx="12">
                  <c:v>UNESP 2013</c:v>
                </c:pt>
                <c:pt idx="13">
                  <c:v>UNESP 2012</c:v>
                </c:pt>
                <c:pt idx="14">
                  <c:v>UNESP 2011</c:v>
                </c:pt>
                <c:pt idx="15">
                  <c:v>UNESP 2010</c:v>
                </c:pt>
              </c:strCache>
            </c:strRef>
          </c:cat>
          <c:val>
            <c:numRef>
              <c:f>Dashboard!$E$4:$E$19</c:f>
              <c:numCache>
                <c:formatCode>0.000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Dashboard!$G$3</c:f>
              <c:strCache>
                <c:ptCount val="1"/>
                <c:pt idx="0">
                  <c:v>Meta Média</c:v>
                </c:pt>
              </c:strCache>
            </c:strRef>
          </c:tx>
          <c:spPr>
            <a:ln w="15840">
              <a:solidFill>
                <a:srgbClr val="9C000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Dashboard!$A$4:$A$19</c:f>
              <c:strCache>
                <c:ptCount val="16"/>
                <c:pt idx="0">
                  <c:v>UNESP 2025</c:v>
                </c:pt>
                <c:pt idx="1">
                  <c:v>UNESP 2024</c:v>
                </c:pt>
                <c:pt idx="2">
                  <c:v>UNESP 2023</c:v>
                </c:pt>
                <c:pt idx="3">
                  <c:v>UNESP 2022</c:v>
                </c:pt>
                <c:pt idx="4">
                  <c:v>UNESP 2021</c:v>
                </c:pt>
                <c:pt idx="5">
                  <c:v>UNESP 2020</c:v>
                </c:pt>
                <c:pt idx="6">
                  <c:v>UNESP 2019</c:v>
                </c:pt>
                <c:pt idx="7">
                  <c:v>UNESP 2018</c:v>
                </c:pt>
                <c:pt idx="8">
                  <c:v>UNESP 2017</c:v>
                </c:pt>
                <c:pt idx="9">
                  <c:v>UNESP 2016</c:v>
                </c:pt>
                <c:pt idx="10">
                  <c:v>UNESP 2015</c:v>
                </c:pt>
                <c:pt idx="11">
                  <c:v>UNESP 2014</c:v>
                </c:pt>
                <c:pt idx="12">
                  <c:v>UNESP 2013</c:v>
                </c:pt>
                <c:pt idx="13">
                  <c:v>UNESP 2012</c:v>
                </c:pt>
                <c:pt idx="14">
                  <c:v>UNESP 2011</c:v>
                </c:pt>
                <c:pt idx="15">
                  <c:v>UNESP 2010</c:v>
                </c:pt>
              </c:strCache>
            </c:strRef>
          </c:cat>
          <c:val>
            <c:numRef>
              <c:f>Dashboard!$G$4:$G$19</c:f>
              <c:numCache>
                <c:formatCode>0.000</c:formatCode>
                <c:ptCount val="1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-527154944"/>
        <c:axId val="-527154400"/>
      </c:lineChart>
      <c:catAx>
        <c:axId val="-5271549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Simulado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-527154400"/>
        <c:crosses val="autoZero"/>
        <c:auto val="1"/>
        <c:lblAlgn val="ctr"/>
        <c:lblOffset val="100"/>
        <c:noMultiLvlLbl val="0"/>
      </c:catAx>
      <c:valAx>
        <c:axId val="-527154400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Média Final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-527154944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122040</xdr:colOff>
      <xdr:row>0</xdr:row>
      <xdr:rowOff>129600</xdr:rowOff>
    </xdr:from>
    <xdr:to>
      <xdr:col>18</xdr:col>
      <xdr:colOff>184320</xdr:colOff>
      <xdr:row>28</xdr:row>
      <xdr:rowOff>102960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24"/>
  <sheetViews>
    <sheetView tabSelected="1" topLeftCell="A2" zoomScaleNormal="100" workbookViewId="0">
      <selection activeCell="B4" sqref="B4:B10"/>
    </sheetView>
  </sheetViews>
  <sheetFormatPr defaultColWidth="8.6640625" defaultRowHeight="14.4" x14ac:dyDescent="0.3"/>
  <cols>
    <col min="1" max="1" width="32" style="67" customWidth="1"/>
    <col min="2" max="2" width="24" style="67" customWidth="1"/>
    <col min="3" max="3" width="42" style="67" customWidth="1"/>
    <col min="4" max="4" width="4" style="1" customWidth="1"/>
    <col min="5" max="16384" width="8.6640625" style="1"/>
  </cols>
  <sheetData>
    <row r="1" spans="1:4" s="67" customFormat="1" ht="37.5" customHeight="1" x14ac:dyDescent="0.3">
      <c r="A1" s="84" t="s">
        <v>0</v>
      </c>
      <c r="B1" s="90"/>
      <c r="C1" s="90"/>
      <c r="D1" s="90"/>
    </row>
    <row r="2" spans="1:4" s="67" customFormat="1" ht="18" customHeight="1" x14ac:dyDescent="0.3">
      <c r="A2" s="85" t="s">
        <v>1</v>
      </c>
      <c r="B2" s="91"/>
      <c r="C2" s="91"/>
      <c r="D2" s="91"/>
    </row>
    <row r="3" spans="1:4" s="67" customFormat="1" ht="9.75" customHeight="1" x14ac:dyDescent="0.3"/>
    <row r="4" spans="1:4" ht="24" customHeight="1" x14ac:dyDescent="0.3">
      <c r="A4" s="86" t="s">
        <v>2</v>
      </c>
      <c r="B4" s="3" t="s">
        <v>66</v>
      </c>
      <c r="C4" s="92" t="s">
        <v>3</v>
      </c>
      <c r="D4" s="2"/>
    </row>
    <row r="5" spans="1:4" ht="24" customHeight="1" x14ac:dyDescent="0.3">
      <c r="A5" s="86" t="s">
        <v>4</v>
      </c>
      <c r="B5" s="4" t="s">
        <v>67</v>
      </c>
      <c r="C5" s="92" t="s">
        <v>3</v>
      </c>
    </row>
    <row r="6" spans="1:4" ht="9.75" customHeight="1" x14ac:dyDescent="0.3">
      <c r="B6" s="1"/>
    </row>
    <row r="7" spans="1:4" ht="19.5" customHeight="1" x14ac:dyDescent="0.3">
      <c r="A7" s="87" t="s">
        <v>5</v>
      </c>
      <c r="B7" s="2"/>
      <c r="C7" s="91"/>
      <c r="D7" s="2"/>
    </row>
    <row r="8" spans="1:4" ht="24" customHeight="1" x14ac:dyDescent="0.3">
      <c r="A8" s="86" t="s">
        <v>6</v>
      </c>
      <c r="B8" s="4">
        <v>70</v>
      </c>
      <c r="C8" s="92" t="s">
        <v>7</v>
      </c>
    </row>
    <row r="9" spans="1:4" ht="24" customHeight="1" x14ac:dyDescent="0.3">
      <c r="A9" s="86" t="s">
        <v>8</v>
      </c>
      <c r="B9" s="4">
        <v>24</v>
      </c>
      <c r="C9" s="92" t="s">
        <v>9</v>
      </c>
    </row>
    <row r="10" spans="1:4" ht="24" customHeight="1" x14ac:dyDescent="0.3">
      <c r="A10" s="86" t="s">
        <v>10</v>
      </c>
      <c r="B10" s="4">
        <v>50</v>
      </c>
      <c r="C10" s="92" t="s">
        <v>11</v>
      </c>
    </row>
    <row r="11" spans="1:4" ht="9.75" customHeight="1" x14ac:dyDescent="0.3"/>
    <row r="12" spans="1:4" ht="19.5" customHeight="1" x14ac:dyDescent="0.3">
      <c r="A12" s="87" t="s">
        <v>12</v>
      </c>
      <c r="B12" s="91"/>
      <c r="C12" s="91"/>
      <c r="D12" s="2"/>
    </row>
    <row r="13" spans="1:4" ht="19.5" customHeight="1" x14ac:dyDescent="0.3">
      <c r="A13" s="88" t="s">
        <v>13</v>
      </c>
      <c r="B13" s="94" t="s">
        <v>14</v>
      </c>
      <c r="C13" s="93"/>
    </row>
    <row r="14" spans="1:4" ht="19.5" customHeight="1" x14ac:dyDescent="0.3">
      <c r="A14" s="88" t="s">
        <v>15</v>
      </c>
      <c r="B14" s="94" t="s">
        <v>16</v>
      </c>
      <c r="C14" s="93"/>
    </row>
    <row r="15" spans="1:4" ht="19.5" customHeight="1" x14ac:dyDescent="0.3">
      <c r="A15" s="88" t="s">
        <v>17</v>
      </c>
      <c r="B15" s="94" t="s">
        <v>18</v>
      </c>
      <c r="C15" s="93"/>
    </row>
    <row r="16" spans="1:4" ht="19.5" customHeight="1" x14ac:dyDescent="0.3">
      <c r="A16" s="88" t="s">
        <v>19</v>
      </c>
      <c r="B16" s="94" t="s">
        <v>18</v>
      </c>
      <c r="C16" s="93"/>
    </row>
    <row r="17" spans="1:4" ht="19.5" customHeight="1" x14ac:dyDescent="0.3">
      <c r="A17" s="88" t="s">
        <v>20</v>
      </c>
      <c r="B17" s="94" t="s">
        <v>18</v>
      </c>
      <c r="C17" s="93"/>
    </row>
    <row r="18" spans="1:4" ht="19.5" customHeight="1" x14ac:dyDescent="0.3">
      <c r="A18" s="88" t="s">
        <v>21</v>
      </c>
      <c r="B18" s="94" t="s">
        <v>22</v>
      </c>
      <c r="C18" s="93"/>
    </row>
    <row r="19" spans="1:4" ht="19.5" customHeight="1" x14ac:dyDescent="0.3">
      <c r="A19" s="88" t="s">
        <v>23</v>
      </c>
      <c r="B19" s="94" t="s">
        <v>24</v>
      </c>
      <c r="C19" s="93"/>
    </row>
    <row r="20" spans="1:4" ht="19.5" customHeight="1" x14ac:dyDescent="0.3">
      <c r="A20" s="88" t="s">
        <v>25</v>
      </c>
      <c r="B20" s="94" t="s">
        <v>26</v>
      </c>
      <c r="C20" s="93"/>
    </row>
    <row r="21" spans="1:4" ht="19.5" customHeight="1" x14ac:dyDescent="0.3">
      <c r="A21" s="88" t="s">
        <v>27</v>
      </c>
      <c r="B21" s="94" t="s">
        <v>28</v>
      </c>
      <c r="C21" s="93"/>
    </row>
    <row r="22" spans="1:4" ht="9.75" customHeight="1" x14ac:dyDescent="0.3"/>
    <row r="23" spans="1:4" ht="19.5" customHeight="1" x14ac:dyDescent="0.3">
      <c r="A23" s="87" t="s">
        <v>29</v>
      </c>
      <c r="B23" s="91"/>
      <c r="C23" s="91"/>
      <c r="D23" s="2"/>
    </row>
    <row r="24" spans="1:4" ht="21.75" customHeight="1" x14ac:dyDescent="0.3">
      <c r="A24" s="89" t="s">
        <v>30</v>
      </c>
      <c r="B24" s="95" t="s">
        <v>31</v>
      </c>
    </row>
  </sheetData>
  <sheetProtection selectLockedCells="1" selectUnlockedCells="1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T46"/>
  <sheetViews>
    <sheetView zoomScaleNormal="100" workbookViewId="0">
      <pane ySplit="3" topLeftCell="A4" activePane="bottomLeft" state="frozen"/>
      <selection pane="bottomLeft" activeCell="B13" sqref="B13"/>
    </sheetView>
  </sheetViews>
  <sheetFormatPr defaultColWidth="8.6640625" defaultRowHeight="14.4" x14ac:dyDescent="0.3"/>
  <cols>
    <col min="1" max="1" width="18.21875" style="5" customWidth="1"/>
    <col min="2" max="2" width="26.109375" style="1" customWidth="1"/>
    <col min="3" max="3" width="30.44140625" style="67" customWidth="1"/>
    <col min="4" max="4" width="33.5546875" style="67" customWidth="1"/>
    <col min="5" max="5" width="20" style="6" customWidth="1"/>
    <col min="6" max="20" width="8.6640625" style="6"/>
    <col min="21" max="16384" width="8.6640625" style="1"/>
  </cols>
  <sheetData>
    <row r="1" spans="1:20" s="67" customFormat="1" ht="37.5" customHeight="1" x14ac:dyDescent="0.3">
      <c r="A1" s="80" t="s">
        <v>32</v>
      </c>
      <c r="B1" s="47"/>
      <c r="C1" s="47"/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s="67" customFormat="1" ht="19.5" customHeight="1" x14ac:dyDescent="0.3">
      <c r="A2" s="51" t="str">
        <f>Parâmetros!$B$4&amp;"   |   "&amp;Parâmetros!$B$5</f>
        <v>Giovanna Fernandes   |   Humanas</v>
      </c>
      <c r="B2" s="52"/>
      <c r="C2" s="52"/>
      <c r="D2" s="53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spans="1:20" s="67" customFormat="1" ht="25.5" customHeight="1" x14ac:dyDescent="0.3">
      <c r="A3" s="54" t="s">
        <v>33</v>
      </c>
      <c r="B3" s="54" t="s">
        <v>34</v>
      </c>
      <c r="C3" s="55" t="s">
        <v>15</v>
      </c>
      <c r="D3" s="54" t="s">
        <v>35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21" customHeight="1" x14ac:dyDescent="0.3">
      <c r="A4" s="61" t="s">
        <v>36</v>
      </c>
      <c r="B4" s="10"/>
      <c r="C4" s="81" t="str">
        <f t="shared" ref="C4:C19" si="0">IF(B4="","",B4*100/90)</f>
        <v/>
      </c>
      <c r="D4" s="82" t="str">
        <f>IF(B4="","",IF(B4&gt;=Parâmetros!$B$8,"✔  Dentro da Meta","✘  Abaixo da Meta"))</f>
        <v/>
      </c>
    </row>
    <row r="5" spans="1:20" ht="21" customHeight="1" x14ac:dyDescent="0.3">
      <c r="A5" s="12" t="s">
        <v>37</v>
      </c>
      <c r="B5" s="13"/>
      <c r="C5" s="81" t="str">
        <f t="shared" si="0"/>
        <v/>
      </c>
      <c r="D5" s="83" t="str">
        <f>IF(B5="","",IF(B5&gt;=Parâmetros!$B$8,"✔  Dentro da Meta","✘  Abaixo da Meta"))</f>
        <v/>
      </c>
    </row>
    <row r="6" spans="1:20" ht="21" customHeight="1" x14ac:dyDescent="0.3">
      <c r="A6" s="9" t="s">
        <v>38</v>
      </c>
      <c r="B6" s="10"/>
      <c r="C6" s="81" t="str">
        <f t="shared" si="0"/>
        <v/>
      </c>
      <c r="D6" s="82" t="str">
        <f>IF(B6="","",IF(B6&gt;=Parâmetros!$B$8,"✔  Dentro da Meta","✘  Abaixo da Meta"))</f>
        <v/>
      </c>
    </row>
    <row r="7" spans="1:20" ht="21" customHeight="1" x14ac:dyDescent="0.3">
      <c r="A7" s="14" t="s">
        <v>39</v>
      </c>
      <c r="B7" s="13"/>
      <c r="C7" s="81" t="str">
        <f t="shared" si="0"/>
        <v/>
      </c>
      <c r="D7" s="83" t="str">
        <f>IF(B7="","",IF(B7&gt;=Parâmetros!$B$8,"✔  Dentro da Meta","✘  Abaixo da Meta"))</f>
        <v/>
      </c>
    </row>
    <row r="8" spans="1:20" ht="21" customHeight="1" x14ac:dyDescent="0.3">
      <c r="A8" s="9" t="s">
        <v>40</v>
      </c>
      <c r="B8" s="10"/>
      <c r="C8" s="81" t="str">
        <f t="shared" si="0"/>
        <v/>
      </c>
      <c r="D8" s="82" t="str">
        <f>IF(B8="","",IF(B8&gt;=Parâmetros!$B$8,"✔  Dentro da Meta","✘  Abaixo da Meta"))</f>
        <v/>
      </c>
    </row>
    <row r="9" spans="1:20" ht="21" customHeight="1" x14ac:dyDescent="0.3">
      <c r="A9" s="62" t="s">
        <v>41</v>
      </c>
      <c r="B9" s="13"/>
      <c r="C9" s="81" t="str">
        <f t="shared" si="0"/>
        <v/>
      </c>
      <c r="D9" s="83" t="str">
        <f>IF(B9="","",IF(B9&gt;=Parâmetros!$B$8,"✔  Dentro da Meta","✘  Abaixo da Meta"))</f>
        <v/>
      </c>
    </row>
    <row r="10" spans="1:20" ht="21" customHeight="1" x14ac:dyDescent="0.3">
      <c r="A10" s="61" t="s">
        <v>42</v>
      </c>
      <c r="B10" s="10"/>
      <c r="C10" s="81" t="str">
        <f t="shared" si="0"/>
        <v/>
      </c>
      <c r="D10" s="82" t="str">
        <f>IF(B10="","",IF(B10&gt;=Parâmetros!$B$8,"✔  Dentro da Meta","✘  Abaixo da Meta"))</f>
        <v/>
      </c>
    </row>
    <row r="11" spans="1:20" ht="21" customHeight="1" x14ac:dyDescent="0.3">
      <c r="A11" s="14" t="s">
        <v>43</v>
      </c>
      <c r="B11" s="13"/>
      <c r="C11" s="81" t="str">
        <f t="shared" si="0"/>
        <v/>
      </c>
      <c r="D11" s="83" t="str">
        <f>IF(B11="","",IF(B11&gt;=Parâmetros!$B$8,"✔  Dentro da Meta","✘  Abaixo da Meta"))</f>
        <v/>
      </c>
    </row>
    <row r="12" spans="1:20" ht="21" customHeight="1" x14ac:dyDescent="0.3">
      <c r="A12" s="9" t="s">
        <v>44</v>
      </c>
      <c r="B12" s="10"/>
      <c r="C12" s="81" t="str">
        <f t="shared" si="0"/>
        <v/>
      </c>
      <c r="D12" s="82" t="str">
        <f>IF(B12="","",IF(B12&gt;=Parâmetros!$B$8,"✔  Dentro da Meta","✘  Abaixo da Meta"))</f>
        <v/>
      </c>
    </row>
    <row r="13" spans="1:20" ht="21" customHeight="1" x14ac:dyDescent="0.3">
      <c r="A13" s="14" t="s">
        <v>45</v>
      </c>
      <c r="B13" s="13"/>
      <c r="C13" s="81" t="str">
        <f t="shared" si="0"/>
        <v/>
      </c>
      <c r="D13" s="83" t="str">
        <f>IF(B13="","",IF(B13&gt;=Parâmetros!$B$8,"✔  Dentro da Meta","✘  Abaixo da Meta"))</f>
        <v/>
      </c>
    </row>
    <row r="14" spans="1:20" ht="21" customHeight="1" x14ac:dyDescent="0.3">
      <c r="A14" s="9" t="s">
        <v>46</v>
      </c>
      <c r="B14" s="10"/>
      <c r="C14" s="81" t="str">
        <f t="shared" si="0"/>
        <v/>
      </c>
      <c r="D14" s="82" t="str">
        <f>IF(B14="","",IF(B14&gt;=Parâmetros!$B$8,"✔  Dentro da Meta","✘  Abaixo da Meta"))</f>
        <v/>
      </c>
    </row>
    <row r="15" spans="1:20" ht="21" customHeight="1" x14ac:dyDescent="0.3">
      <c r="A15" s="14" t="s">
        <v>47</v>
      </c>
      <c r="B15" s="13"/>
      <c r="C15" s="81" t="str">
        <f t="shared" si="0"/>
        <v/>
      </c>
      <c r="D15" s="83" t="str">
        <f>IF(B15="","",IF(B15&gt;=Parâmetros!$B$8,"✔  Dentro da Meta","✘  Abaixo da Meta"))</f>
        <v/>
      </c>
    </row>
    <row r="16" spans="1:20" ht="21" customHeight="1" x14ac:dyDescent="0.3">
      <c r="A16" s="9" t="s">
        <v>48</v>
      </c>
      <c r="B16" s="10"/>
      <c r="C16" s="81" t="str">
        <f t="shared" si="0"/>
        <v/>
      </c>
      <c r="D16" s="82" t="str">
        <f>IF(B16="","",IF(B16&gt;=Parâmetros!$B$8,"✔  Dentro da Meta","✘  Abaixo da Meta"))</f>
        <v/>
      </c>
    </row>
    <row r="17" spans="1:4" ht="21" customHeight="1" x14ac:dyDescent="0.3">
      <c r="A17" s="14" t="s">
        <v>49</v>
      </c>
      <c r="B17" s="13"/>
      <c r="C17" s="81" t="str">
        <f t="shared" si="0"/>
        <v/>
      </c>
      <c r="D17" s="83" t="str">
        <f>IF(B17="","",IF(B17&gt;=Parâmetros!$B$8,"✔  Dentro da Meta","✘  Abaixo da Meta"))</f>
        <v/>
      </c>
    </row>
    <row r="18" spans="1:4" ht="21" customHeight="1" x14ac:dyDescent="0.3">
      <c r="A18" s="9" t="s">
        <v>50</v>
      </c>
      <c r="B18" s="10"/>
      <c r="C18" s="81" t="str">
        <f t="shared" si="0"/>
        <v/>
      </c>
      <c r="D18" s="82" t="str">
        <f>IF(B18="","",IF(B18&gt;=Parâmetros!$B$8,"✔  Dentro da Meta","✘  Abaixo da Meta"))</f>
        <v/>
      </c>
    </row>
    <row r="19" spans="1:4" ht="21" customHeight="1" x14ac:dyDescent="0.3">
      <c r="A19" s="14" t="s">
        <v>51</v>
      </c>
      <c r="B19" s="13"/>
      <c r="C19" s="81" t="str">
        <f t="shared" si="0"/>
        <v/>
      </c>
      <c r="D19" s="83" t="str">
        <f>IF(B19="","",IF(B19&gt;=Parâmetros!$B$8,"✔  Dentro da Meta","✘  Abaixo da Meta"))</f>
        <v/>
      </c>
    </row>
    <row r="20" spans="1:4" s="6" customFormat="1" ht="25.5" customHeight="1" x14ac:dyDescent="0.3">
      <c r="C20" s="49"/>
      <c r="D20" s="49"/>
    </row>
    <row r="21" spans="1:4" s="6" customFormat="1" ht="14.25" customHeight="1" x14ac:dyDescent="0.3">
      <c r="C21" s="49"/>
      <c r="D21" s="49"/>
    </row>
    <row r="22" spans="1:4" s="6" customFormat="1" ht="14.25" customHeight="1" x14ac:dyDescent="0.3">
      <c r="C22" s="49"/>
      <c r="D22" s="49"/>
    </row>
    <row r="23" spans="1:4" s="6" customFormat="1" ht="14.25" customHeight="1" x14ac:dyDescent="0.3">
      <c r="C23" s="49"/>
      <c r="D23" s="49"/>
    </row>
    <row r="24" spans="1:4" s="6" customFormat="1" ht="14.25" customHeight="1" x14ac:dyDescent="0.3">
      <c r="C24" s="49"/>
      <c r="D24" s="49"/>
    </row>
    <row r="25" spans="1:4" s="6" customFormat="1" ht="14.25" customHeight="1" x14ac:dyDescent="0.3">
      <c r="C25" s="49"/>
      <c r="D25" s="49"/>
    </row>
    <row r="26" spans="1:4" s="6" customFormat="1" ht="14.25" customHeight="1" x14ac:dyDescent="0.3">
      <c r="C26" s="49"/>
      <c r="D26" s="49"/>
    </row>
    <row r="27" spans="1:4" s="6" customFormat="1" ht="14.25" customHeight="1" x14ac:dyDescent="0.3">
      <c r="C27" s="49"/>
      <c r="D27" s="49"/>
    </row>
    <row r="28" spans="1:4" s="6" customFormat="1" ht="14.25" customHeight="1" x14ac:dyDescent="0.3">
      <c r="C28" s="49"/>
      <c r="D28" s="49"/>
    </row>
    <row r="29" spans="1:4" s="6" customFormat="1" ht="14.25" customHeight="1" x14ac:dyDescent="0.3">
      <c r="C29" s="49"/>
      <c r="D29" s="49"/>
    </row>
    <row r="30" spans="1:4" s="6" customFormat="1" ht="14.25" customHeight="1" x14ac:dyDescent="0.3">
      <c r="C30" s="49"/>
      <c r="D30" s="49"/>
    </row>
    <row r="31" spans="1:4" s="6" customFormat="1" ht="14.25" customHeight="1" x14ac:dyDescent="0.3">
      <c r="C31" s="49"/>
      <c r="D31" s="49"/>
    </row>
    <row r="32" spans="1:4" s="6" customFormat="1" ht="14.25" customHeight="1" x14ac:dyDescent="0.3">
      <c r="C32" s="49"/>
      <c r="D32" s="49"/>
    </row>
    <row r="33" spans="3:4" s="6" customFormat="1" ht="14.25" customHeight="1" x14ac:dyDescent="0.3">
      <c r="C33" s="49"/>
      <c r="D33" s="49"/>
    </row>
    <row r="34" spans="3:4" s="6" customFormat="1" ht="14.25" customHeight="1" x14ac:dyDescent="0.3">
      <c r="C34" s="49"/>
      <c r="D34" s="49"/>
    </row>
    <row r="35" spans="3:4" s="6" customFormat="1" ht="14.25" customHeight="1" x14ac:dyDescent="0.3">
      <c r="C35" s="49"/>
      <c r="D35" s="49"/>
    </row>
    <row r="36" spans="3:4" s="6" customFormat="1" ht="14.25" customHeight="1" x14ac:dyDescent="0.3">
      <c r="C36" s="49"/>
      <c r="D36" s="49"/>
    </row>
    <row r="37" spans="3:4" s="6" customFormat="1" ht="14.25" customHeight="1" x14ac:dyDescent="0.3">
      <c r="C37" s="49"/>
      <c r="D37" s="49"/>
    </row>
    <row r="38" spans="3:4" s="6" customFormat="1" ht="14.25" customHeight="1" x14ac:dyDescent="0.3">
      <c r="C38" s="49"/>
      <c r="D38" s="49"/>
    </row>
    <row r="39" spans="3:4" s="6" customFormat="1" ht="14.25" customHeight="1" x14ac:dyDescent="0.3">
      <c r="C39" s="49"/>
      <c r="D39" s="49"/>
    </row>
    <row r="40" spans="3:4" s="6" customFormat="1" ht="14.25" customHeight="1" x14ac:dyDescent="0.3">
      <c r="C40" s="49"/>
      <c r="D40" s="49"/>
    </row>
    <row r="41" spans="3:4" s="6" customFormat="1" ht="14.25" customHeight="1" x14ac:dyDescent="0.3">
      <c r="C41" s="49"/>
      <c r="D41" s="49"/>
    </row>
    <row r="42" spans="3:4" s="6" customFormat="1" ht="14.25" customHeight="1" x14ac:dyDescent="0.3">
      <c r="C42" s="49"/>
      <c r="D42" s="49"/>
    </row>
    <row r="43" spans="3:4" s="6" customFormat="1" ht="14.25" customHeight="1" x14ac:dyDescent="0.3">
      <c r="C43" s="49"/>
      <c r="D43" s="49"/>
    </row>
    <row r="44" spans="3:4" s="6" customFormat="1" ht="14.25" customHeight="1" x14ac:dyDescent="0.3">
      <c r="C44" s="49"/>
      <c r="D44" s="49"/>
    </row>
    <row r="45" spans="3:4" s="6" customFormat="1" ht="14.25" customHeight="1" x14ac:dyDescent="0.3">
      <c r="C45" s="49"/>
      <c r="D45" s="49"/>
    </row>
    <row r="46" spans="3:4" s="6" customFormat="1" ht="14.25" customHeight="1" x14ac:dyDescent="0.3">
      <c r="C46" s="49"/>
      <c r="D46" s="49"/>
    </row>
  </sheetData>
  <sheetProtection algorithmName="SHA-512" hashValue="NUAtPtLAScq0I762rih8Z4ofEb624RKvLLulhIW9QpQHKRkxmgXOchmLRKlt+SDBWEq8V77xEvYmmi0MPgOxrA==" saltValue="jcWCA/RvOPseWrETGYoUoA==" spinCount="100000" sheet="1" objects="1" scenarios="1" selectLockedCells="1"/>
  <conditionalFormatting sqref="D4:D19">
    <cfRule type="expression" dxfId="5" priority="2">
      <formula>D4="✔  Dentro da Meta"</formula>
    </cfRule>
    <cfRule type="expression" dxfId="4" priority="3">
      <formula>D4="✘  Abaixo da Meta"</formula>
    </cfRule>
  </conditionalFormatting>
  <dataValidations count="1">
    <dataValidation type="whole" showErrorMessage="1" errorTitle="Valor inválido" error="Digite entre 0 e 90." sqref="C4:C19">
      <formula1>0</formula1>
      <formula2>90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R4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defaultColWidth="8.6640625" defaultRowHeight="14.4" x14ac:dyDescent="0.3"/>
  <cols>
    <col min="1" max="1" width="17.88671875" style="1" customWidth="1"/>
    <col min="2" max="2" width="19.33203125" style="1" customWidth="1"/>
    <col min="3" max="3" width="19.6640625" style="1" customWidth="1"/>
    <col min="4" max="5" width="19.88671875" style="1" customWidth="1"/>
    <col min="6" max="6" width="22.33203125" style="1" customWidth="1"/>
    <col min="7" max="7" width="15" style="6" customWidth="1"/>
    <col min="8" max="8" width="18" style="6" customWidth="1"/>
    <col min="9" max="18" width="8.6640625" style="15"/>
    <col min="19" max="16384" width="8.6640625" style="1"/>
  </cols>
  <sheetData>
    <row r="1" spans="1:18" s="67" customFormat="1" ht="37.5" customHeight="1" x14ac:dyDescent="0.3">
      <c r="A1" s="65" t="s">
        <v>52</v>
      </c>
      <c r="B1" s="47"/>
      <c r="C1" s="47"/>
      <c r="D1" s="47"/>
      <c r="E1" s="47"/>
      <c r="F1" s="48"/>
      <c r="G1" s="49"/>
      <c r="H1" s="49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18" s="67" customFormat="1" ht="19.5" customHeight="1" x14ac:dyDescent="0.3">
      <c r="A2" s="51" t="str">
        <f>Parâmetros!$B$4&amp;"   |   "&amp;Parâmetros!$B$5</f>
        <v>Giovanna Fernandes   |   Humanas</v>
      </c>
      <c r="B2" s="52"/>
      <c r="C2" s="52"/>
      <c r="D2" s="52"/>
      <c r="E2" s="52"/>
      <c r="F2" s="53"/>
      <c r="G2" s="49"/>
      <c r="H2" s="49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8" s="67" customFormat="1" ht="25.5" customHeight="1" x14ac:dyDescent="0.3">
      <c r="A3" s="68" t="s">
        <v>33</v>
      </c>
      <c r="B3" s="69" t="s">
        <v>53</v>
      </c>
      <c r="C3" s="70" t="s">
        <v>54</v>
      </c>
      <c r="D3" s="71" t="s">
        <v>55</v>
      </c>
      <c r="E3" s="72" t="s">
        <v>56</v>
      </c>
      <c r="F3" s="73" t="s">
        <v>23</v>
      </c>
      <c r="G3" s="49"/>
      <c r="H3" s="49"/>
      <c r="I3" s="66"/>
      <c r="J3" s="66"/>
      <c r="K3" s="66"/>
      <c r="L3" s="66"/>
      <c r="M3" s="66"/>
      <c r="N3" s="66"/>
      <c r="O3" s="66"/>
      <c r="P3" s="66"/>
      <c r="Q3" s="66"/>
      <c r="R3" s="66"/>
    </row>
    <row r="4" spans="1:18" s="67" customFormat="1" ht="15.75" customHeight="1" x14ac:dyDescent="0.3">
      <c r="A4" s="74"/>
      <c r="B4" s="75" t="s">
        <v>57</v>
      </c>
      <c r="C4" s="76" t="s">
        <v>57</v>
      </c>
      <c r="D4" s="77" t="s">
        <v>57</v>
      </c>
      <c r="E4" s="78" t="s">
        <v>58</v>
      </c>
      <c r="F4" s="79"/>
      <c r="G4" s="49"/>
      <c r="H4" s="49"/>
      <c r="I4" s="66"/>
      <c r="J4" s="66"/>
      <c r="K4" s="66"/>
      <c r="L4" s="66"/>
      <c r="M4" s="66"/>
      <c r="N4" s="66"/>
      <c r="O4" s="66"/>
      <c r="P4" s="66"/>
      <c r="Q4" s="66"/>
      <c r="R4" s="66"/>
    </row>
    <row r="5" spans="1:18" ht="21" customHeight="1" x14ac:dyDescent="0.3">
      <c r="A5" s="61" t="s">
        <v>36</v>
      </c>
      <c r="B5" s="17"/>
      <c r="C5" s="18"/>
      <c r="D5" s="19"/>
      <c r="E5" s="20"/>
      <c r="F5" s="11" t="str">
        <f t="shared" ref="F5:F20" si="0">IF(AND(B5="",C5="",D5="",E5=""),"",IF(B5="",0,B5)+IF(C5="",0,C5)+IF(D5="",0,D5)+IF(E5="",0,E5))</f>
        <v/>
      </c>
    </row>
    <row r="6" spans="1:18" ht="21" customHeight="1" x14ac:dyDescent="0.3">
      <c r="A6" s="62" t="s">
        <v>37</v>
      </c>
      <c r="B6" s="21"/>
      <c r="C6" s="21"/>
      <c r="D6" s="21"/>
      <c r="E6" s="21"/>
      <c r="F6" s="11" t="str">
        <f t="shared" si="0"/>
        <v/>
      </c>
    </row>
    <row r="7" spans="1:18" ht="21" customHeight="1" x14ac:dyDescent="0.3">
      <c r="A7" s="61" t="s">
        <v>38</v>
      </c>
      <c r="B7" s="17"/>
      <c r="C7" s="18"/>
      <c r="D7" s="19"/>
      <c r="E7" s="20"/>
      <c r="F7" s="11" t="str">
        <f t="shared" si="0"/>
        <v/>
      </c>
    </row>
    <row r="8" spans="1:18" ht="21" customHeight="1" x14ac:dyDescent="0.3">
      <c r="A8" s="12" t="s">
        <v>39</v>
      </c>
      <c r="B8" s="21"/>
      <c r="C8" s="21"/>
      <c r="D8" s="21"/>
      <c r="E8" s="21"/>
      <c r="F8" s="11" t="str">
        <f t="shared" si="0"/>
        <v/>
      </c>
    </row>
    <row r="9" spans="1:18" ht="21" customHeight="1" x14ac:dyDescent="0.3">
      <c r="A9" s="61" t="s">
        <v>40</v>
      </c>
      <c r="B9" s="17"/>
      <c r="C9" s="18"/>
      <c r="D9" s="19"/>
      <c r="E9" s="20"/>
      <c r="F9" s="11" t="str">
        <f t="shared" si="0"/>
        <v/>
      </c>
    </row>
    <row r="10" spans="1:18" ht="21" customHeight="1" x14ac:dyDescent="0.3">
      <c r="A10" s="14" t="s">
        <v>41</v>
      </c>
      <c r="B10" s="21"/>
      <c r="C10" s="21"/>
      <c r="D10" s="21"/>
      <c r="E10" s="21"/>
      <c r="F10" s="11" t="str">
        <f t="shared" si="0"/>
        <v/>
      </c>
    </row>
    <row r="11" spans="1:18" ht="21" customHeight="1" x14ac:dyDescent="0.3">
      <c r="A11" s="9" t="s">
        <v>42</v>
      </c>
      <c r="B11" s="17"/>
      <c r="C11" s="18"/>
      <c r="D11" s="19"/>
      <c r="E11" s="20"/>
      <c r="F11" s="11" t="str">
        <f t="shared" si="0"/>
        <v/>
      </c>
    </row>
    <row r="12" spans="1:18" ht="21" customHeight="1" x14ac:dyDescent="0.3">
      <c r="A12" s="14" t="s">
        <v>43</v>
      </c>
      <c r="B12" s="21"/>
      <c r="C12" s="21"/>
      <c r="D12" s="21"/>
      <c r="E12" s="21"/>
      <c r="F12" s="11" t="str">
        <f t="shared" si="0"/>
        <v/>
      </c>
    </row>
    <row r="13" spans="1:18" ht="21" customHeight="1" x14ac:dyDescent="0.3">
      <c r="A13" s="9" t="s">
        <v>44</v>
      </c>
      <c r="B13" s="17"/>
      <c r="C13" s="18"/>
      <c r="D13" s="19"/>
      <c r="E13" s="20"/>
      <c r="F13" s="11" t="str">
        <f t="shared" si="0"/>
        <v/>
      </c>
    </row>
    <row r="14" spans="1:18" ht="21" customHeight="1" x14ac:dyDescent="0.3">
      <c r="A14" s="14" t="s">
        <v>45</v>
      </c>
      <c r="B14" s="21"/>
      <c r="C14" s="21"/>
      <c r="D14" s="21"/>
      <c r="E14" s="21"/>
      <c r="F14" s="11" t="str">
        <f t="shared" si="0"/>
        <v/>
      </c>
    </row>
    <row r="15" spans="1:18" ht="21" customHeight="1" x14ac:dyDescent="0.3">
      <c r="A15" s="9" t="s">
        <v>46</v>
      </c>
      <c r="B15" s="17"/>
      <c r="C15" s="18"/>
      <c r="D15" s="19"/>
      <c r="E15" s="20"/>
      <c r="F15" s="11" t="str">
        <f t="shared" si="0"/>
        <v/>
      </c>
    </row>
    <row r="16" spans="1:18" ht="21" customHeight="1" x14ac:dyDescent="0.3">
      <c r="A16" s="14" t="s">
        <v>47</v>
      </c>
      <c r="B16" s="21"/>
      <c r="C16" s="21"/>
      <c r="D16" s="21"/>
      <c r="E16" s="21"/>
      <c r="F16" s="11" t="str">
        <f t="shared" si="0"/>
        <v/>
      </c>
    </row>
    <row r="17" spans="1:16" ht="21" customHeight="1" x14ac:dyDescent="0.3">
      <c r="A17" s="9" t="s">
        <v>48</v>
      </c>
      <c r="B17" s="17"/>
      <c r="C17" s="18"/>
      <c r="D17" s="19"/>
      <c r="E17" s="20"/>
      <c r="F17" s="11" t="str">
        <f t="shared" si="0"/>
        <v/>
      </c>
    </row>
    <row r="18" spans="1:16" ht="21" customHeight="1" x14ac:dyDescent="0.3">
      <c r="A18" s="14" t="s">
        <v>49</v>
      </c>
      <c r="B18" s="21"/>
      <c r="C18" s="21"/>
      <c r="D18" s="21"/>
      <c r="E18" s="21"/>
      <c r="F18" s="11" t="str">
        <f t="shared" si="0"/>
        <v/>
      </c>
    </row>
    <row r="19" spans="1:16" ht="21" customHeight="1" x14ac:dyDescent="0.3">
      <c r="A19" s="9" t="s">
        <v>50</v>
      </c>
      <c r="B19" s="17"/>
      <c r="C19" s="18"/>
      <c r="D19" s="19"/>
      <c r="E19" s="20"/>
      <c r="F19" s="11" t="str">
        <f t="shared" si="0"/>
        <v/>
      </c>
    </row>
    <row r="20" spans="1:16" ht="21" customHeight="1" x14ac:dyDescent="0.3">
      <c r="A20" s="14" t="s">
        <v>51</v>
      </c>
      <c r="B20" s="21"/>
      <c r="C20" s="21"/>
      <c r="D20" s="21"/>
      <c r="E20" s="21"/>
      <c r="F20" s="11" t="str">
        <f t="shared" si="0"/>
        <v/>
      </c>
    </row>
    <row r="21" spans="1:16" s="6" customFormat="1" ht="25.5" customHeight="1" x14ac:dyDescent="0.3"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s="6" customFormat="1" ht="14.25" customHeight="1" x14ac:dyDescent="0.3"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s="6" customFormat="1" ht="14.25" customHeight="1" x14ac:dyDescent="0.3"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s="6" customFormat="1" ht="14.25" customHeight="1" x14ac:dyDescent="0.3"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s="6" customFormat="1" ht="14.25" customHeight="1" x14ac:dyDescent="0.3"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s="6" customFormat="1" ht="14.25" customHeight="1" x14ac:dyDescent="0.3"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s="6" customFormat="1" ht="14.25" customHeight="1" x14ac:dyDescent="0.3"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s="6" customFormat="1" ht="14.25" customHeight="1" x14ac:dyDescent="0.3"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s="6" customFormat="1" ht="14.25" customHeight="1" x14ac:dyDescent="0.3"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s="6" customFormat="1" ht="14.25" customHeight="1" x14ac:dyDescent="0.3"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s="6" customFormat="1" ht="14.25" customHeight="1" x14ac:dyDescent="0.3"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s="6" customFormat="1" ht="14.25" customHeight="1" x14ac:dyDescent="0.3"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7:16" s="6" customFormat="1" ht="14.25" customHeight="1" x14ac:dyDescent="0.3"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7:16" s="6" customFormat="1" ht="14.25" customHeight="1" x14ac:dyDescent="0.3"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7:16" s="6" customFormat="1" ht="14.25" customHeight="1" x14ac:dyDescent="0.3"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7:16" s="6" customFormat="1" ht="14.25" customHeight="1" x14ac:dyDescent="0.3"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7:16" s="6" customFormat="1" ht="14.25" customHeight="1" x14ac:dyDescent="0.3"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7:16" s="6" customFormat="1" ht="14.25" customHeight="1" x14ac:dyDescent="0.3"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7:16" s="6" customFormat="1" ht="14.25" customHeight="1" x14ac:dyDescent="0.3"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7:16" s="6" customFormat="1" ht="14.25" customHeight="1" x14ac:dyDescent="0.3"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7:16" s="6" customFormat="1" ht="14.25" customHeight="1" x14ac:dyDescent="0.3"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7:16" s="6" customFormat="1" ht="14.25" customHeight="1" x14ac:dyDescent="0.3"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7:16" s="6" customFormat="1" ht="14.25" customHeight="1" x14ac:dyDescent="0.3"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7:16" s="6" customFormat="1" ht="14.25" customHeight="1" x14ac:dyDescent="0.3"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7:16" s="6" customFormat="1" ht="14.25" customHeight="1" x14ac:dyDescent="0.3"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7:16" s="6" customFormat="1" ht="14.25" customHeight="1" x14ac:dyDescent="0.3">
      <c r="G46" s="15"/>
      <c r="H46" s="15"/>
      <c r="I46" s="15"/>
      <c r="J46" s="15"/>
      <c r="K46" s="15"/>
      <c r="L46" s="15"/>
      <c r="M46" s="15"/>
      <c r="N46" s="15"/>
      <c r="O46" s="15"/>
      <c r="P46" s="15"/>
    </row>
  </sheetData>
  <sheetProtection algorithmName="SHA-512" hashValue="CDg8rWh+dw2sCl+Aqkl8yOWiY3gYKSyyUsdEMnGcx0oKOd5KkQLL88JN583nBKZJCoJlF0l6Kwjale2WoTJydA==" saltValue="JWzlObpoSjYAOkIJJVvdhQ==" spinCount="100000" sheet="1" objects="1" scenarios="1" selectLockedCells="1"/>
  <dataValidations count="4">
    <dataValidation type="decimal" showErrorMessage="1" errorTitle="C. Humanas inválido" error="Valor entre 0 e 24." sqref="C5:C20">
      <formula1>0</formula1>
      <formula2>24</formula2>
    </dataValidation>
    <dataValidation type="decimal" showErrorMessage="1" errorTitle="C. Nat/Mat inválido" error="Valor entre 0 e 24." sqref="D5:D20">
      <formula1>0</formula1>
      <formula2>24</formula2>
    </dataValidation>
    <dataValidation type="decimal" showErrorMessage="1" errorTitle="Linguagens inválido" error="Valor entre 0 e 24." sqref="E5:E20">
      <formula1>0</formula1>
      <formula2>28</formula2>
    </dataValidation>
    <dataValidation type="decimal" showErrorMessage="1" errorTitle="Redação inválida" error="Valor entre 0 e 28." sqref="F5:F20">
      <formula1>0</formula1>
      <formula2>28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B03CBF4-49F9-4C28-B8B2-2634D733AD73}">
            <xm:f>AND(E5&lt;&gt;"",E5&gt;=Parâmetros!$B$9)</xm:f>
            <x14:dxf>
              <font>
                <b/>
                <color rgb="FF375623"/>
                <name val="Calibri"/>
              </font>
              <fill>
                <patternFill>
                  <bgColor rgb="FFC6EFCE"/>
                </patternFill>
              </fill>
            </x14:dxf>
          </x14:cfRule>
          <x14:cfRule type="expression" priority="3" id="{6E0FDF24-FC5F-44B6-AAC8-A72FE0364697}">
            <xm:f>AND(E5&lt;&gt;"",E5&lt;Parâmetros!$B$9)</xm:f>
            <x14:dxf>
              <font>
                <b/>
                <color rgb="FF9C0006"/>
                <name val="Calibri"/>
              </font>
              <fill>
                <patternFill>
                  <bgColor rgb="FFFFC7CE"/>
                </patternFill>
              </fill>
            </x14:dxf>
          </x14:cfRule>
          <xm:sqref>E5:E20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7" sqref="B7"/>
    </sheetView>
  </sheetViews>
  <sheetFormatPr defaultColWidth="8.6640625" defaultRowHeight="14.4" x14ac:dyDescent="0.3"/>
  <cols>
    <col min="1" max="1" width="19.5546875" style="22" customWidth="1"/>
    <col min="2" max="2" width="21.44140625" style="22" customWidth="1"/>
    <col min="3" max="3" width="24.88671875" style="22" customWidth="1"/>
    <col min="4" max="4" width="24.6640625" style="22" customWidth="1"/>
    <col min="5" max="5" width="24.33203125" style="22" customWidth="1"/>
    <col min="6" max="6" width="20" style="22" customWidth="1"/>
    <col min="7" max="7" width="27.109375" style="22" customWidth="1"/>
    <col min="8" max="8" width="17.6640625" style="22" customWidth="1"/>
    <col min="9" max="9" width="28" style="23" customWidth="1"/>
    <col min="10" max="11" width="8.6640625" style="23"/>
  </cols>
  <sheetData>
    <row r="1" spans="1:8" ht="37.5" customHeight="1" x14ac:dyDescent="0.3">
      <c r="A1" s="16" t="s">
        <v>63</v>
      </c>
      <c r="B1" s="7"/>
      <c r="C1" s="7"/>
      <c r="D1" s="7"/>
      <c r="E1" s="7"/>
      <c r="F1" s="7"/>
      <c r="G1" s="7"/>
      <c r="H1" s="8"/>
    </row>
    <row r="2" spans="1:8" ht="24" customHeight="1" x14ac:dyDescent="0.3">
      <c r="A2" s="24" t="str">
        <f>Parâmetros!$B$4&amp;"   |   "&amp;Parâmetros!$B$5</f>
        <v>Giovanna Fernandes   |   Humanas</v>
      </c>
      <c r="B2" s="25"/>
      <c r="C2" s="25"/>
      <c r="D2" s="25"/>
      <c r="E2" s="25"/>
      <c r="F2" s="25"/>
      <c r="G2" s="25"/>
      <c r="H2" s="26"/>
    </row>
    <row r="3" spans="1:8" ht="6" hidden="1" customHeight="1" x14ac:dyDescent="0.3">
      <c r="A3" s="27"/>
      <c r="B3" s="27"/>
      <c r="C3" s="27"/>
      <c r="D3" s="27"/>
      <c r="E3" s="27"/>
      <c r="F3" s="27"/>
      <c r="G3" s="27"/>
      <c r="H3" s="27"/>
    </row>
    <row r="4" spans="1:8" ht="25.5" customHeight="1" x14ac:dyDescent="0.3">
      <c r="A4" s="28" t="s">
        <v>33</v>
      </c>
      <c r="B4" s="64" t="s">
        <v>13</v>
      </c>
      <c r="C4" s="63" t="s">
        <v>53</v>
      </c>
      <c r="D4" s="29" t="s">
        <v>54</v>
      </c>
      <c r="E4" s="30" t="s">
        <v>55</v>
      </c>
      <c r="F4" s="31" t="s">
        <v>56</v>
      </c>
      <c r="G4" s="32" t="s">
        <v>64</v>
      </c>
      <c r="H4" s="28" t="s">
        <v>65</v>
      </c>
    </row>
    <row r="5" spans="1:8" ht="36" customHeight="1" x14ac:dyDescent="0.3">
      <c r="A5" s="33" t="s">
        <v>36</v>
      </c>
      <c r="B5" s="34"/>
      <c r="C5" s="35"/>
      <c r="D5" s="36"/>
      <c r="E5" s="37"/>
      <c r="F5" s="38"/>
      <c r="G5" s="39"/>
      <c r="H5" s="40"/>
    </row>
    <row r="6" spans="1:8" ht="36" customHeight="1" x14ac:dyDescent="0.3">
      <c r="A6" s="62" t="s">
        <v>37</v>
      </c>
      <c r="B6" s="34"/>
      <c r="C6" s="34"/>
      <c r="D6" s="34"/>
      <c r="E6" s="34"/>
      <c r="F6" s="34"/>
      <c r="G6" s="41"/>
      <c r="H6" s="42"/>
    </row>
    <row r="7" spans="1:8" ht="36" customHeight="1" x14ac:dyDescent="0.3">
      <c r="A7" s="61" t="s">
        <v>38</v>
      </c>
      <c r="B7" s="34"/>
      <c r="C7" s="35"/>
      <c r="D7" s="36"/>
      <c r="E7" s="37"/>
      <c r="F7" s="38"/>
      <c r="G7" s="39"/>
      <c r="H7" s="40"/>
    </row>
    <row r="8" spans="1:8" ht="36" customHeight="1" x14ac:dyDescent="0.3">
      <c r="A8" s="14" t="s">
        <v>39</v>
      </c>
      <c r="B8" s="34"/>
      <c r="C8" s="34"/>
      <c r="D8" s="34"/>
      <c r="E8" s="34"/>
      <c r="F8" s="34"/>
      <c r="G8" s="41"/>
      <c r="H8" s="42"/>
    </row>
    <row r="9" spans="1:8" ht="36" customHeight="1" x14ac:dyDescent="0.3">
      <c r="A9" s="9" t="s">
        <v>40</v>
      </c>
      <c r="B9" s="34"/>
      <c r="C9" s="35"/>
      <c r="D9" s="36"/>
      <c r="E9" s="37"/>
      <c r="F9" s="38"/>
      <c r="G9" s="39"/>
      <c r="H9" s="40"/>
    </row>
    <row r="10" spans="1:8" ht="35.25" customHeight="1" x14ac:dyDescent="0.3">
      <c r="A10" s="14" t="s">
        <v>41</v>
      </c>
      <c r="B10" s="34"/>
      <c r="C10" s="34"/>
      <c r="D10" s="34"/>
      <c r="E10" s="34"/>
      <c r="F10" s="34"/>
      <c r="G10" s="41"/>
      <c r="H10" s="42"/>
    </row>
    <row r="11" spans="1:8" ht="36" customHeight="1" x14ac:dyDescent="0.3">
      <c r="A11" s="9" t="s">
        <v>42</v>
      </c>
      <c r="B11" s="34"/>
      <c r="C11" s="35"/>
      <c r="D11" s="36"/>
      <c r="E11" s="37"/>
      <c r="F11" s="38"/>
      <c r="G11" s="39"/>
      <c r="H11" s="40"/>
    </row>
    <row r="12" spans="1:8" ht="36" customHeight="1" x14ac:dyDescent="0.3">
      <c r="A12" s="14" t="s">
        <v>43</v>
      </c>
      <c r="B12" s="34"/>
      <c r="C12" s="34"/>
      <c r="D12" s="34"/>
      <c r="E12" s="34"/>
      <c r="F12" s="34"/>
      <c r="G12" s="41"/>
      <c r="H12" s="42"/>
    </row>
    <row r="13" spans="1:8" ht="36" customHeight="1" x14ac:dyDescent="0.3">
      <c r="A13" s="9" t="s">
        <v>44</v>
      </c>
      <c r="B13" s="34"/>
      <c r="C13" s="35"/>
      <c r="D13" s="36"/>
      <c r="E13" s="37"/>
      <c r="F13" s="38"/>
      <c r="G13" s="39"/>
      <c r="H13" s="40"/>
    </row>
    <row r="14" spans="1:8" ht="36" customHeight="1" x14ac:dyDescent="0.3">
      <c r="A14" s="14" t="s">
        <v>45</v>
      </c>
      <c r="B14" s="34"/>
      <c r="C14" s="34"/>
      <c r="D14" s="34"/>
      <c r="E14" s="34"/>
      <c r="F14" s="34"/>
      <c r="G14" s="41"/>
      <c r="H14" s="42"/>
    </row>
    <row r="15" spans="1:8" ht="36" customHeight="1" x14ac:dyDescent="0.3">
      <c r="A15" s="9" t="s">
        <v>46</v>
      </c>
      <c r="B15" s="34"/>
      <c r="C15" s="35"/>
      <c r="D15" s="36"/>
      <c r="E15" s="37"/>
      <c r="F15" s="38"/>
      <c r="G15" s="39"/>
      <c r="H15" s="40"/>
    </row>
    <row r="16" spans="1:8" ht="36" customHeight="1" x14ac:dyDescent="0.3">
      <c r="A16" s="14" t="s">
        <v>47</v>
      </c>
      <c r="B16" s="34"/>
      <c r="C16" s="34"/>
      <c r="D16" s="34"/>
      <c r="E16" s="34"/>
      <c r="F16" s="34"/>
      <c r="G16" s="41"/>
      <c r="H16" s="42"/>
    </row>
    <row r="17" spans="1:8" ht="36" customHeight="1" x14ac:dyDescent="0.3">
      <c r="A17" s="9" t="s">
        <v>48</v>
      </c>
      <c r="B17" s="34"/>
      <c r="C17" s="35"/>
      <c r="D17" s="36"/>
      <c r="E17" s="37"/>
      <c r="F17" s="38"/>
      <c r="G17" s="39"/>
      <c r="H17" s="40"/>
    </row>
    <row r="18" spans="1:8" ht="36" customHeight="1" x14ac:dyDescent="0.3">
      <c r="A18" s="14" t="s">
        <v>49</v>
      </c>
      <c r="B18" s="34"/>
      <c r="C18" s="34"/>
      <c r="D18" s="34"/>
      <c r="E18" s="34"/>
      <c r="F18" s="34"/>
      <c r="G18" s="41"/>
      <c r="H18" s="42"/>
    </row>
    <row r="19" spans="1:8" ht="36" customHeight="1" x14ac:dyDescent="0.3">
      <c r="A19" s="9" t="s">
        <v>50</v>
      </c>
      <c r="B19" s="34"/>
      <c r="C19" s="35"/>
      <c r="D19" s="36"/>
      <c r="E19" s="37"/>
      <c r="F19" s="38"/>
      <c r="G19" s="39"/>
      <c r="H19" s="40"/>
    </row>
    <row r="20" spans="1:8" ht="36" customHeight="1" x14ac:dyDescent="0.3">
      <c r="A20" s="14" t="s">
        <v>51</v>
      </c>
      <c r="B20" s="34"/>
      <c r="C20" s="34"/>
      <c r="D20" s="34"/>
      <c r="E20" s="34"/>
      <c r="F20" s="34"/>
      <c r="G20" s="41"/>
      <c r="H20" s="42"/>
    </row>
    <row r="21" spans="1:8" ht="14.25" hidden="1" customHeight="1" x14ac:dyDescent="0.3"/>
    <row r="22" spans="1:8" s="23" customFormat="1" ht="14.25" customHeight="1" x14ac:dyDescent="0.3"/>
    <row r="23" spans="1:8" s="23" customFormat="1" ht="14.25" customHeight="1" x14ac:dyDescent="0.3"/>
    <row r="24" spans="1:8" s="23" customFormat="1" ht="14.25" customHeight="1" x14ac:dyDescent="0.3"/>
    <row r="25" spans="1:8" s="23" customFormat="1" ht="14.25" customHeight="1" x14ac:dyDescent="0.3"/>
    <row r="26" spans="1:8" s="23" customFormat="1" ht="14.25" customHeight="1" x14ac:dyDescent="0.3"/>
    <row r="27" spans="1:8" s="23" customFormat="1" ht="14.25" customHeight="1" x14ac:dyDescent="0.3"/>
    <row r="28" spans="1:8" s="23" customFormat="1" ht="14.25" customHeight="1" x14ac:dyDescent="0.3"/>
    <row r="29" spans="1:8" s="23" customFormat="1" ht="14.25" customHeight="1" x14ac:dyDescent="0.3"/>
    <row r="30" spans="1:8" s="23" customFormat="1" ht="14.25" customHeight="1" x14ac:dyDescent="0.3"/>
    <row r="31" spans="1:8" s="23" customFormat="1" ht="14.25" customHeight="1" x14ac:dyDescent="0.3"/>
    <row r="32" spans="1:8" s="23" customFormat="1" ht="14.25" customHeight="1" x14ac:dyDescent="0.3"/>
    <row r="33" s="23" customFormat="1" ht="14.25" customHeight="1" x14ac:dyDescent="0.3"/>
    <row r="34" s="23" customFormat="1" ht="14.25" customHeight="1" x14ac:dyDescent="0.3"/>
    <row r="35" s="23" customFormat="1" ht="14.25" customHeight="1" x14ac:dyDescent="0.3"/>
    <row r="36" s="23" customFormat="1" ht="14.25" customHeight="1" x14ac:dyDescent="0.3"/>
    <row r="37" s="23" customFormat="1" ht="14.25" customHeight="1" x14ac:dyDescent="0.3"/>
    <row r="38" s="23" customFormat="1" ht="14.25" customHeight="1" x14ac:dyDescent="0.3"/>
    <row r="39" s="23" customFormat="1" ht="14.25" customHeight="1" x14ac:dyDescent="0.3"/>
    <row r="40" s="23" customFormat="1" ht="14.25" customHeight="1" x14ac:dyDescent="0.3"/>
    <row r="41" s="23" customFormat="1" ht="14.25" customHeight="1" x14ac:dyDescent="0.3"/>
    <row r="42" s="23" customFormat="1" ht="14.25" customHeight="1" x14ac:dyDescent="0.3"/>
    <row r="43" s="23" customFormat="1" ht="14.25" customHeight="1" x14ac:dyDescent="0.3"/>
    <row r="44" s="23" customFormat="1" ht="14.25" customHeight="1" x14ac:dyDescent="0.3"/>
    <row r="45" s="23" customFormat="1" ht="14.25" customHeight="1" x14ac:dyDescent="0.3"/>
  </sheetData>
  <sheetProtection algorithmName="SHA-512" hashValue="7vQdzFiT/jK4h/9Tdis+pei9Gcz0MnIOQHm+Pjn5jO/smkmYKs3JGLgvklxMuAsFr6Wxn6l90T+Nv9BAOH3c4A==" saltValue="1PON3aU+H++ymAqL5aObmw==" spinCount="100000" sheet="1" objects="1" scenarios="1" selectLockedCells="1"/>
  <dataValidations count="1">
    <dataValidation type="list" allowBlank="1" sqref="H5:H20">
      <formula1>"Falta de atenção,Conteúdo não estudado,Erro de interpretação,Erro de cálculo,Falta de tempo,Chute errado,Outro"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S38"/>
  <sheetViews>
    <sheetView zoomScaleNormal="100" workbookViewId="0">
      <pane ySplit="3" topLeftCell="A4" activePane="bottomLeft" state="frozen"/>
      <selection pane="bottomLeft" activeCell="A6" sqref="A6"/>
    </sheetView>
  </sheetViews>
  <sheetFormatPr defaultColWidth="8.6640625" defaultRowHeight="14.4" x14ac:dyDescent="0.3"/>
  <cols>
    <col min="1" max="1" width="20" style="1" customWidth="1"/>
    <col min="2" max="2" width="14" style="1" customWidth="1"/>
    <col min="3" max="5" width="16" style="1" customWidth="1"/>
    <col min="6" max="7" width="14" style="1" customWidth="1"/>
    <col min="8" max="19" width="8.6640625" style="6"/>
    <col min="20" max="16384" width="8.6640625" style="44"/>
  </cols>
  <sheetData>
    <row r="1" spans="1:19" s="50" customFormat="1" ht="37.5" customHeight="1" x14ac:dyDescent="0.3">
      <c r="A1" s="46" t="str">
        <f>"                                                   Dashboard de Evolução — "&amp;Parâmetros!$B$4</f>
        <v xml:space="preserve">                                                   Dashboard de Evolução — Giovanna Fernandes</v>
      </c>
      <c r="B1" s="47"/>
      <c r="C1" s="47"/>
      <c r="D1" s="47"/>
      <c r="E1" s="47"/>
      <c r="F1" s="47"/>
      <c r="G1" s="48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50" customFormat="1" ht="19.5" customHeight="1" x14ac:dyDescent="0.3">
      <c r="A2" s="51" t="str">
        <f>Parâmetros!$B$4&amp;"   |   "&amp;Parâmetros!$B$5</f>
        <v>Giovanna Fernandes   |   Humanas</v>
      </c>
      <c r="B2" s="52"/>
      <c r="C2" s="52"/>
      <c r="D2" s="52"/>
      <c r="E2" s="52"/>
      <c r="F2" s="52"/>
      <c r="G2" s="53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s="50" customFormat="1" ht="25.5" customHeight="1" x14ac:dyDescent="0.3">
      <c r="A3" s="54" t="s">
        <v>33</v>
      </c>
      <c r="B3" s="54" t="s">
        <v>59</v>
      </c>
      <c r="C3" s="55" t="s">
        <v>15</v>
      </c>
      <c r="D3" s="55" t="s">
        <v>23</v>
      </c>
      <c r="E3" s="54" t="s">
        <v>25</v>
      </c>
      <c r="F3" s="56" t="s">
        <v>60</v>
      </c>
      <c r="G3" s="56" t="s">
        <v>61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ht="19.5" customHeight="1" x14ac:dyDescent="0.3">
      <c r="A4" s="61" t="s">
        <v>36</v>
      </c>
      <c r="B4" s="57">
        <f>IFERROR('1ª Fase'!B4,"")</f>
        <v>0</v>
      </c>
      <c r="C4" s="58" t="str">
        <f>IFERROR('1ª Fase'!C4,"")</f>
        <v/>
      </c>
      <c r="D4" s="58" t="str">
        <f>IFERROR('2ª Fase'!F5,"")</f>
        <v/>
      </c>
      <c r="E4" s="58" t="str">
        <f>IFERROR(('1ª Fase'!C4+'2ª Fase'!F5)/2,"")</f>
        <v/>
      </c>
      <c r="F4" s="57" t="str">
        <f>IF(E4="","",IF(E4&gt;=Parâmetros!$B$10,"✔  Aprovado","✘  Reprovado"))</f>
        <v/>
      </c>
      <c r="G4" s="58">
        <f>Parâmetros!$B$10</f>
        <v>50</v>
      </c>
    </row>
    <row r="5" spans="1:19" ht="19.5" customHeight="1" x14ac:dyDescent="0.3">
      <c r="A5" s="62" t="s">
        <v>37</v>
      </c>
      <c r="B5" s="59">
        <f>IFERROR('1ª Fase'!B5,"")</f>
        <v>0</v>
      </c>
      <c r="C5" s="60" t="str">
        <f>IFERROR('1ª Fase'!C5,"")</f>
        <v/>
      </c>
      <c r="D5" s="60" t="str">
        <f>IFERROR('2ª Fase'!F6,"")</f>
        <v/>
      </c>
      <c r="E5" s="60" t="str">
        <f>IFERROR(('1ª Fase'!C5+'2ª Fase'!F6)/2,"")</f>
        <v/>
      </c>
      <c r="F5" s="59" t="str">
        <f>IF(E5="","",IF(E5&gt;=Parâmetros!$B$10,"✔  Aprovado","✘  Reprovado"))</f>
        <v/>
      </c>
      <c r="G5" s="60">
        <f>Parâmetros!$B$10</f>
        <v>50</v>
      </c>
    </row>
    <row r="6" spans="1:19" ht="19.5" customHeight="1" x14ac:dyDescent="0.3">
      <c r="A6" s="9" t="s">
        <v>38</v>
      </c>
      <c r="B6" s="57">
        <f>IFERROR('1ª Fase'!B6,"")</f>
        <v>0</v>
      </c>
      <c r="C6" s="58" t="str">
        <f>IFERROR('1ª Fase'!C6,"")</f>
        <v/>
      </c>
      <c r="D6" s="58" t="str">
        <f>IFERROR('2ª Fase'!F7,"")</f>
        <v/>
      </c>
      <c r="E6" s="58" t="str">
        <f>IFERROR(('1ª Fase'!C6+'2ª Fase'!F7)/2,"")</f>
        <v/>
      </c>
      <c r="F6" s="57" t="str">
        <f>IF(E6="","",IF(E6&gt;=Parâmetros!$B$10,"✔  Aprovado","✘  Reprovado"))</f>
        <v/>
      </c>
      <c r="G6" s="58">
        <f>Parâmetros!$B$10</f>
        <v>50</v>
      </c>
    </row>
    <row r="7" spans="1:19" ht="19.5" customHeight="1" x14ac:dyDescent="0.3">
      <c r="A7" s="62" t="s">
        <v>39</v>
      </c>
      <c r="B7" s="59">
        <f>IFERROR('1ª Fase'!B7,"")</f>
        <v>0</v>
      </c>
      <c r="C7" s="60" t="str">
        <f>IFERROR('1ª Fase'!C7,"")</f>
        <v/>
      </c>
      <c r="D7" s="60" t="str">
        <f>IFERROR('2ª Fase'!F8,"")</f>
        <v/>
      </c>
      <c r="E7" s="60" t="str">
        <f>IFERROR(('1ª Fase'!C7+'2ª Fase'!F8)/2,"")</f>
        <v/>
      </c>
      <c r="F7" s="59" t="str">
        <f>IF(E7="","",IF(E7&gt;=Parâmetros!$B$10,"✔  Aprovado","✘  Reprovado"))</f>
        <v/>
      </c>
      <c r="G7" s="60">
        <f>Parâmetros!$B$10</f>
        <v>50</v>
      </c>
    </row>
    <row r="8" spans="1:19" ht="19.5" customHeight="1" x14ac:dyDescent="0.3">
      <c r="A8" s="61" t="s">
        <v>40</v>
      </c>
      <c r="B8" s="57">
        <f>IFERROR('1ª Fase'!B8,"")</f>
        <v>0</v>
      </c>
      <c r="C8" s="58" t="str">
        <f>IFERROR('1ª Fase'!C8,"")</f>
        <v/>
      </c>
      <c r="D8" s="58" t="str">
        <f>IFERROR('2ª Fase'!F9,"")</f>
        <v/>
      </c>
      <c r="E8" s="58" t="str">
        <f>IFERROR(('1ª Fase'!C8+'2ª Fase'!F9)/2,"")</f>
        <v/>
      </c>
      <c r="F8" s="57" t="str">
        <f>IF(E8="","",IF(E8&gt;=Parâmetros!$B$10,"✔  Aprovado","✘  Reprovado"))</f>
        <v/>
      </c>
      <c r="G8" s="58">
        <f>Parâmetros!$B$10</f>
        <v>50</v>
      </c>
    </row>
    <row r="9" spans="1:19" ht="19.5" customHeight="1" x14ac:dyDescent="0.3">
      <c r="A9" s="62" t="s">
        <v>41</v>
      </c>
      <c r="B9" s="59">
        <f>IFERROR('1ª Fase'!B9,"")</f>
        <v>0</v>
      </c>
      <c r="C9" s="60" t="str">
        <f>IFERROR('1ª Fase'!C9,"")</f>
        <v/>
      </c>
      <c r="D9" s="60" t="str">
        <f>IFERROR('2ª Fase'!F10,"")</f>
        <v/>
      </c>
      <c r="E9" s="60" t="str">
        <f>IFERROR(('1ª Fase'!C9+'2ª Fase'!F10)/2,"")</f>
        <v/>
      </c>
      <c r="F9" s="59" t="str">
        <f>IF(E9="","",IF(E9&gt;=Parâmetros!$B$10,"✔  Aprovado","✘  Reprovado"))</f>
        <v/>
      </c>
      <c r="G9" s="60">
        <f>Parâmetros!$B$10</f>
        <v>50</v>
      </c>
    </row>
    <row r="10" spans="1:19" ht="19.5" customHeight="1" x14ac:dyDescent="0.3">
      <c r="A10" s="9" t="s">
        <v>42</v>
      </c>
      <c r="B10" s="57">
        <f>IFERROR('1ª Fase'!B10,"")</f>
        <v>0</v>
      </c>
      <c r="C10" s="58" t="str">
        <f>IFERROR('1ª Fase'!C10,"")</f>
        <v/>
      </c>
      <c r="D10" s="58" t="str">
        <f>IFERROR('2ª Fase'!F11,"")</f>
        <v/>
      </c>
      <c r="E10" s="58" t="str">
        <f>IFERROR(('1ª Fase'!C10+'2ª Fase'!F11)/2,"")</f>
        <v/>
      </c>
      <c r="F10" s="57" t="str">
        <f>IF(E10="","",IF(E10&gt;=Parâmetros!$B$10,"✔  Aprovado","✘  Reprovado"))</f>
        <v/>
      </c>
      <c r="G10" s="58">
        <f>Parâmetros!$B$10</f>
        <v>50</v>
      </c>
    </row>
    <row r="11" spans="1:19" ht="19.5" customHeight="1" x14ac:dyDescent="0.3">
      <c r="A11" s="14" t="s">
        <v>43</v>
      </c>
      <c r="B11" s="59">
        <f>IFERROR('1ª Fase'!B11,"")</f>
        <v>0</v>
      </c>
      <c r="C11" s="60" t="str">
        <f>IFERROR('1ª Fase'!C11,"")</f>
        <v/>
      </c>
      <c r="D11" s="60" t="str">
        <f>IFERROR('2ª Fase'!F12,"")</f>
        <v/>
      </c>
      <c r="E11" s="60" t="str">
        <f>IFERROR(('1ª Fase'!C11+'2ª Fase'!F12)/2,"")</f>
        <v/>
      </c>
      <c r="F11" s="59" t="str">
        <f>IF(E11="","",IF(E11&gt;=Parâmetros!$B$10,"✔  Aprovado","✘  Reprovado"))</f>
        <v/>
      </c>
      <c r="G11" s="60">
        <f>Parâmetros!$B$10</f>
        <v>50</v>
      </c>
    </row>
    <row r="12" spans="1:19" ht="19.5" customHeight="1" x14ac:dyDescent="0.3">
      <c r="A12" s="9" t="s">
        <v>44</v>
      </c>
      <c r="B12" s="57">
        <f>IFERROR('1ª Fase'!B12,"")</f>
        <v>0</v>
      </c>
      <c r="C12" s="58" t="str">
        <f>IFERROR('1ª Fase'!C12,"")</f>
        <v/>
      </c>
      <c r="D12" s="58" t="str">
        <f>IFERROR('2ª Fase'!F13,"")</f>
        <v/>
      </c>
      <c r="E12" s="58" t="str">
        <f>IFERROR(('1ª Fase'!C12+'2ª Fase'!F13)/2,"")</f>
        <v/>
      </c>
      <c r="F12" s="57" t="str">
        <f>IF(E12="","",IF(E12&gt;=Parâmetros!$B$10,"✔  Aprovado","✘  Reprovado"))</f>
        <v/>
      </c>
      <c r="G12" s="58">
        <f>Parâmetros!$B$10</f>
        <v>50</v>
      </c>
    </row>
    <row r="13" spans="1:19" ht="19.5" customHeight="1" x14ac:dyDescent="0.3">
      <c r="A13" s="14" t="s">
        <v>45</v>
      </c>
      <c r="B13" s="59">
        <f>IFERROR('1ª Fase'!B13,"")</f>
        <v>0</v>
      </c>
      <c r="C13" s="60" t="str">
        <f>IFERROR('1ª Fase'!C13,"")</f>
        <v/>
      </c>
      <c r="D13" s="60" t="str">
        <f>IFERROR('2ª Fase'!F14,"")</f>
        <v/>
      </c>
      <c r="E13" s="60" t="str">
        <f>IFERROR(('1ª Fase'!C13+'2ª Fase'!F14)/2,"")</f>
        <v/>
      </c>
      <c r="F13" s="59" t="str">
        <f>IF(E13="","",IF(E13&gt;=Parâmetros!$B$10,"✔  Aprovado","✘  Reprovado"))</f>
        <v/>
      </c>
      <c r="G13" s="60">
        <f>Parâmetros!$B$10</f>
        <v>50</v>
      </c>
    </row>
    <row r="14" spans="1:19" ht="19.5" customHeight="1" x14ac:dyDescent="0.3">
      <c r="A14" s="9" t="s">
        <v>46</v>
      </c>
      <c r="B14" s="57">
        <f>IFERROR('1ª Fase'!B14,"")</f>
        <v>0</v>
      </c>
      <c r="C14" s="58" t="str">
        <f>IFERROR('1ª Fase'!C14,"")</f>
        <v/>
      </c>
      <c r="D14" s="58" t="str">
        <f>IFERROR('2ª Fase'!F15,"")</f>
        <v/>
      </c>
      <c r="E14" s="58" t="str">
        <f>IFERROR(('1ª Fase'!C14+'2ª Fase'!F15)/2,"")</f>
        <v/>
      </c>
      <c r="F14" s="57" t="str">
        <f>IF(E14="","",IF(E14&gt;=Parâmetros!$B$10,"✔  Aprovado","✘  Reprovado"))</f>
        <v/>
      </c>
      <c r="G14" s="58">
        <f>Parâmetros!$B$10</f>
        <v>50</v>
      </c>
    </row>
    <row r="15" spans="1:19" ht="19.5" customHeight="1" x14ac:dyDescent="0.3">
      <c r="A15" s="14" t="s">
        <v>47</v>
      </c>
      <c r="B15" s="59">
        <f>IFERROR('1ª Fase'!B15,"")</f>
        <v>0</v>
      </c>
      <c r="C15" s="60" t="str">
        <f>IFERROR('1ª Fase'!C15,"")</f>
        <v/>
      </c>
      <c r="D15" s="60" t="str">
        <f>IFERROR('2ª Fase'!F16,"")</f>
        <v/>
      </c>
      <c r="E15" s="60" t="str">
        <f>IFERROR(('1ª Fase'!C15+'2ª Fase'!F16)/2,"")</f>
        <v/>
      </c>
      <c r="F15" s="59" t="str">
        <f>IF(E15="","",IF(E15&gt;=Parâmetros!$B$10,"✔  Aprovado","✘  Reprovado"))</f>
        <v/>
      </c>
      <c r="G15" s="60">
        <f>Parâmetros!$B$10</f>
        <v>50</v>
      </c>
    </row>
    <row r="16" spans="1:19" ht="19.5" customHeight="1" x14ac:dyDescent="0.3">
      <c r="A16" s="9" t="s">
        <v>48</v>
      </c>
      <c r="B16" s="57">
        <f>IFERROR('1ª Fase'!B16,"")</f>
        <v>0</v>
      </c>
      <c r="C16" s="58" t="str">
        <f>IFERROR('1ª Fase'!C16,"")</f>
        <v/>
      </c>
      <c r="D16" s="58" t="str">
        <f>IFERROR('2ª Fase'!F17,"")</f>
        <v/>
      </c>
      <c r="E16" s="58" t="str">
        <f>IFERROR(('1ª Fase'!C16+'2ª Fase'!F17)/2,"")</f>
        <v/>
      </c>
      <c r="F16" s="57" t="str">
        <f>IF(E16="","",IF(E16&gt;=Parâmetros!$B$10,"✔  Aprovado","✘  Reprovado"))</f>
        <v/>
      </c>
      <c r="G16" s="58">
        <f>Parâmetros!$B$10</f>
        <v>50</v>
      </c>
    </row>
    <row r="17" spans="1:7" ht="19.5" customHeight="1" x14ac:dyDescent="0.3">
      <c r="A17" s="14" t="s">
        <v>49</v>
      </c>
      <c r="B17" s="59">
        <f>IFERROR('1ª Fase'!B17,"")</f>
        <v>0</v>
      </c>
      <c r="C17" s="60" t="str">
        <f>IFERROR('1ª Fase'!C17,"")</f>
        <v/>
      </c>
      <c r="D17" s="60" t="str">
        <f>IFERROR('2ª Fase'!F18,"")</f>
        <v/>
      </c>
      <c r="E17" s="60" t="str">
        <f>IFERROR(('1ª Fase'!C17+'2ª Fase'!F18)/2,"")</f>
        <v/>
      </c>
      <c r="F17" s="59" t="str">
        <f>IF(E17="","",IF(E17&gt;=Parâmetros!$B$10,"✔  Aprovado","✘  Reprovado"))</f>
        <v/>
      </c>
      <c r="G17" s="60">
        <f>Parâmetros!$B$10</f>
        <v>50</v>
      </c>
    </row>
    <row r="18" spans="1:7" ht="19.5" customHeight="1" x14ac:dyDescent="0.3">
      <c r="A18" s="9" t="s">
        <v>50</v>
      </c>
      <c r="B18" s="57">
        <f>IFERROR('1ª Fase'!B18,"")</f>
        <v>0</v>
      </c>
      <c r="C18" s="58" t="str">
        <f>IFERROR('1ª Fase'!C18,"")</f>
        <v/>
      </c>
      <c r="D18" s="58" t="str">
        <f>IFERROR('2ª Fase'!F19,"")</f>
        <v/>
      </c>
      <c r="E18" s="58" t="str">
        <f>IFERROR(('1ª Fase'!C18+'2ª Fase'!F19)/2,"")</f>
        <v/>
      </c>
      <c r="F18" s="57" t="str">
        <f>IF(E18="","",IF(E18&gt;=Parâmetros!$B$10,"✔  Aprovado","✘  Reprovado"))</f>
        <v/>
      </c>
      <c r="G18" s="58">
        <f>Parâmetros!$B$10</f>
        <v>50</v>
      </c>
    </row>
    <row r="19" spans="1:7" ht="19.5" customHeight="1" x14ac:dyDescent="0.3">
      <c r="A19" s="14" t="s">
        <v>51</v>
      </c>
      <c r="B19" s="59">
        <f>IFERROR('1ª Fase'!B19,"")</f>
        <v>0</v>
      </c>
      <c r="C19" s="60" t="str">
        <f>IFERROR('1ª Fase'!C19,"")</f>
        <v/>
      </c>
      <c r="D19" s="60" t="str">
        <f>IFERROR('2ª Fase'!F20,"")</f>
        <v/>
      </c>
      <c r="E19" s="60" t="str">
        <f>IFERROR(('1ª Fase'!C19+'2ª Fase'!F20)/2,"")</f>
        <v/>
      </c>
      <c r="F19" s="59" t="str">
        <f>IF(E19="","",IF(E19&gt;=Parâmetros!$B$10,"✔  Aprovado","✘  Reprovado"))</f>
        <v/>
      </c>
      <c r="G19" s="60">
        <f>Parâmetros!$B$10</f>
        <v>50</v>
      </c>
    </row>
    <row r="20" spans="1:7" s="6" customFormat="1" ht="14.25" customHeight="1" x14ac:dyDescent="0.3"/>
    <row r="21" spans="1:7" s="6" customFormat="1" ht="14.25" customHeight="1" x14ac:dyDescent="0.3"/>
    <row r="22" spans="1:7" s="6" customFormat="1" ht="14.25" customHeight="1" x14ac:dyDescent="0.3"/>
    <row r="23" spans="1:7" s="6" customFormat="1" ht="14.25" customHeight="1" x14ac:dyDescent="0.3"/>
    <row r="24" spans="1:7" s="6" customFormat="1" ht="14.25" customHeight="1" x14ac:dyDescent="0.3"/>
    <row r="25" spans="1:7" s="6" customFormat="1" ht="14.25" customHeight="1" x14ac:dyDescent="0.3"/>
    <row r="26" spans="1:7" s="6" customFormat="1" ht="14.25" customHeight="1" x14ac:dyDescent="0.3"/>
    <row r="27" spans="1:7" s="6" customFormat="1" ht="14.25" customHeight="1" x14ac:dyDescent="0.3"/>
    <row r="28" spans="1:7" s="6" customFormat="1" ht="14.25" customHeight="1" x14ac:dyDescent="0.3"/>
    <row r="29" spans="1:7" s="6" customFormat="1" ht="14.25" customHeight="1" x14ac:dyDescent="0.3"/>
    <row r="30" spans="1:7" s="6" customFormat="1" ht="14.25" customHeight="1" x14ac:dyDescent="0.3"/>
    <row r="31" spans="1:7" s="6" customFormat="1" ht="14.25" customHeight="1" x14ac:dyDescent="0.3"/>
    <row r="32" spans="1:7" s="6" customFormat="1" ht="14.25" customHeight="1" x14ac:dyDescent="0.3"/>
    <row r="33" spans="1:1" s="6" customFormat="1" ht="14.25" customHeight="1" x14ac:dyDescent="0.3"/>
    <row r="34" spans="1:1" s="6" customFormat="1" ht="14.25" customHeight="1" x14ac:dyDescent="0.3"/>
    <row r="35" spans="1:1" s="6" customFormat="1" ht="14.25" customHeight="1" x14ac:dyDescent="0.3"/>
    <row r="36" spans="1:1" s="6" customFormat="1" ht="14.25" customHeight="1" x14ac:dyDescent="0.3"/>
    <row r="37" spans="1:1" s="6" customFormat="1" ht="14.25" customHeight="1" x14ac:dyDescent="0.3"/>
    <row r="38" spans="1:1" s="6" customFormat="1" ht="25.5" customHeight="1" x14ac:dyDescent="0.3">
      <c r="A38" s="45" t="s">
        <v>62</v>
      </c>
    </row>
  </sheetData>
  <sheetProtection algorithmName="SHA-512" hashValue="XQLGl6VG0uoQe3DGLV1TXoAhj2zIDJdcuzRIYqNUt5ChmpRDoTkRH2UvA9ImkHVTMDCZil8vEinwN5cGm4X20g==" saltValue="qI96r9Qg85A63tNXaR0Qxw==" spinCount="100000" sheet="1" objects="1" scenarios="1" selectLockedCells="1"/>
  <conditionalFormatting sqref="F4:F19">
    <cfRule type="expression" dxfId="1" priority="2">
      <formula>F4="✔  Aprovado"</formula>
    </cfRule>
    <cfRule type="expression" dxfId="0" priority="3">
      <formula>F4="✘  Reprovado"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4A2"/>
  </sheetPr>
  <dimension ref="A1"/>
  <sheetViews>
    <sheetView zoomScaleNormal="100" workbookViewId="0">
      <selection activeCell="B12" sqref="B12"/>
    </sheetView>
  </sheetViews>
  <sheetFormatPr defaultColWidth="8.88671875" defaultRowHeight="14.4" x14ac:dyDescent="0.3"/>
  <cols>
    <col min="1" max="16384" width="8.88671875" style="43"/>
  </cols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Parâmetros</vt:lpstr>
      <vt:lpstr>1ª Fase</vt:lpstr>
      <vt:lpstr>2ª Fase</vt:lpstr>
      <vt:lpstr>Registro de Erros</vt:lpstr>
      <vt:lpstr>Dashboard</vt:lpstr>
      <vt:lpstr>Gráfico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</cp:lastModifiedBy>
  <cp:revision>9</cp:revision>
  <dcterms:created xsi:type="dcterms:W3CDTF">2026-04-15T21:54:51Z</dcterms:created>
  <dcterms:modified xsi:type="dcterms:W3CDTF">2026-04-17T23:41:29Z</dcterms:modified>
  <dc:language>en-US</dc:language>
</cp:coreProperties>
</file>